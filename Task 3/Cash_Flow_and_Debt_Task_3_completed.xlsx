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Business Information" sheetId="1" state="visible" r:id="rId3"/>
    <sheet name="Forecast Assumptions" sheetId="2" state="visible" r:id="rId4"/>
    <sheet name="P&amp;L Forecast" sheetId="3" state="visible" r:id="rId5"/>
    <sheet name="Cash Flow &amp; Debt Forecast" sheetId="4" state="visible" r:id="rId6"/>
    <sheet name="Glossary" sheetId="5" state="visible" r:id="rId7"/>
  </sheets>
  <definedNames>
    <definedName function="false" hidden="false" localSheetId="2" name="_xlnm.Print_Area" vbProcedure="false">'P&amp;L Forecast'!$B$1:$H$39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8" authorId="0">
      <text>
        <r>
          <rPr>
            <sz val="10"/>
            <rFont val="Arial"/>
            <family val="2"/>
          </rPr>
          <t xml:space="preserve">Use the Business Information tab to determine the starting assumption for FY2026E.</t>
        </r>
      </text>
    </comment>
    <comment ref="D9" authorId="0">
      <text>
        <r>
          <rPr>
            <sz val="10"/>
            <rFont val="Arial"/>
            <family val="2"/>
          </rPr>
          <t xml:space="preserve">Use the Business Information tab to determine the starting assumption for FY2026E.</t>
        </r>
      </text>
    </comment>
    <comment ref="D11" authorId="0">
      <text>
        <r>
          <rPr>
            <sz val="10"/>
            <rFont val="Arial"/>
            <family val="2"/>
          </rPr>
          <t xml:space="preserve">Use the Business Information tab to determine the starting assumption for FY2026E.</t>
        </r>
      </text>
    </comment>
    <comment ref="D12" authorId="0">
      <text>
        <r>
          <rPr>
            <sz val="10"/>
            <rFont val="Arial"/>
            <family val="2"/>
          </rPr>
          <t xml:space="preserve">Use the Business Information tab to determine the starting assumption for FY2026E.</t>
        </r>
      </text>
    </comment>
    <comment ref="D14" authorId="0">
      <text>
        <r>
          <rPr>
            <sz val="10"/>
            <rFont val="Arial"/>
            <family val="2"/>
          </rPr>
          <t xml:space="preserve">Use the Business Information tab to determine the starting assumption for FY2026E.</t>
        </r>
      </text>
    </comment>
    <comment ref="D15" authorId="0">
      <text>
        <r>
          <rPr>
            <sz val="10"/>
            <rFont val="Arial"/>
            <family val="2"/>
          </rPr>
          <t xml:space="preserve">Use the Business Information tab to determine the starting assumption for FY2026E.</t>
        </r>
      </text>
    </comment>
    <comment ref="D19" authorId="0">
      <text>
        <r>
          <rPr>
            <sz val="10"/>
            <rFont val="Arial"/>
            <family val="2"/>
          </rPr>
          <t xml:space="preserve">Use the Business Information tab to determine the starting assumption for FY2026E.</t>
        </r>
      </text>
    </comment>
    <comment ref="D20" authorId="0">
      <text>
        <r>
          <rPr>
            <sz val="10"/>
            <rFont val="Arial"/>
            <family val="2"/>
          </rPr>
          <t xml:space="preserve">Use the Business Information tab to determine the starting assumption for FY2026E.</t>
        </r>
      </text>
    </comment>
    <comment ref="D21" authorId="0">
      <text>
        <r>
          <rPr>
            <sz val="10"/>
            <rFont val="Arial"/>
            <family val="2"/>
          </rPr>
          <t xml:space="preserve">Use the Business Information tab to determine the starting assumption for FY2026E.</t>
        </r>
      </text>
    </comment>
    <comment ref="D23" authorId="0">
      <text>
        <r>
          <rPr>
            <sz val="10"/>
            <rFont val="Arial"/>
            <family val="2"/>
          </rPr>
          <t xml:space="preserve">Use the Business Information tab to determine the starting assumption for FY2026E.</t>
        </r>
      </text>
    </comment>
    <comment ref="D24" authorId="0">
      <text>
        <r>
          <rPr>
            <sz val="10"/>
            <rFont val="Arial"/>
            <family val="2"/>
          </rPr>
          <t xml:space="preserve">Use the Business Information tab to determine the starting assumption for FY2026E.</t>
        </r>
      </text>
    </comment>
    <comment ref="D25" authorId="0">
      <text>
        <r>
          <rPr>
            <sz val="10"/>
            <rFont val="Arial"/>
            <family val="2"/>
          </rPr>
          <t xml:space="preserve">Use the Business Information tab to determine the starting assumption for FY2026E.</t>
        </r>
      </text>
    </comment>
    <comment ref="D26" authorId="0">
      <text>
        <r>
          <rPr>
            <sz val="10"/>
            <rFont val="Arial"/>
            <family val="2"/>
          </rPr>
          <t xml:space="preserve">Use the Business Information tab to determine the starting assumption for FY2026E.</t>
        </r>
      </text>
    </comment>
    <comment ref="D28" authorId="0">
      <text>
        <r>
          <rPr>
            <sz val="10"/>
            <rFont val="Arial"/>
            <family val="2"/>
          </rPr>
          <t xml:space="preserve">Use the Business Information tab to determine the starting assumption for FY2026E.</t>
        </r>
      </text>
    </comment>
    <comment ref="D31" authorId="0">
      <text>
        <r>
          <rPr>
            <sz val="10"/>
            <rFont val="Arial"/>
            <family val="2"/>
          </rPr>
          <t xml:space="preserve">Use the Business Information tab to determine the starting assumption for FY2026E.</t>
        </r>
      </text>
    </comment>
    <comment ref="D32" authorId="0">
      <text>
        <r>
          <rPr>
            <sz val="10"/>
            <rFont val="Arial"/>
            <family val="2"/>
          </rPr>
          <t xml:space="preserve">Use the Business Information tab to determine the starting assumption for FY2026E.</t>
        </r>
      </text>
    </comment>
    <comment ref="D33" authorId="0">
      <text>
        <r>
          <rPr>
            <sz val="10"/>
            <rFont val="Arial"/>
            <family val="2"/>
          </rPr>
          <t xml:space="preserve">Use the Business Information tab to determine the starting assumption for FY2026E.</t>
        </r>
      </text>
    </comment>
    <comment ref="D36" authorId="0">
      <text>
        <r>
          <rPr>
            <sz val="10"/>
            <rFont val="Arial"/>
            <family val="2"/>
          </rPr>
          <t xml:space="preserve">Use the Business Information tab to determine the starting assumption for FY2026E.</t>
        </r>
      </text>
    </comment>
    <comment ref="D37" authorId="0">
      <text>
        <r>
          <rPr>
            <sz val="10"/>
            <rFont val="Arial"/>
            <family val="2"/>
          </rPr>
          <t xml:space="preserve">Use the Business Information tab to determine the starting assumption for FY2026E.</t>
        </r>
      </text>
    </comment>
    <comment ref="D38" authorId="0">
      <text>
        <r>
          <rPr>
            <sz val="10"/>
            <rFont val="Arial"/>
            <family val="2"/>
          </rPr>
          <t xml:space="preserve">Use the Business Information tab to determine the starting assumption for FY2026E.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Use units sold and average selling price from Forecast Assumptions.</t>
        </r>
      </text>
    </comment>
    <comment ref="B14" authorId="0">
      <text>
        <r>
          <rPr>
            <sz val="10"/>
            <rFont val="Arial"/>
            <family val="2"/>
          </rPr>
          <t xml:space="preserve">Use units sold and COGS per unit from Forecast Assumptions.</t>
        </r>
      </text>
    </comment>
    <comment ref="B23" authorId="0">
      <text>
        <r>
          <rPr>
            <sz val="10"/>
            <rFont val="Arial"/>
            <family val="2"/>
          </rPr>
          <t xml:space="preserve">Link this operating expense directly from Forecast Assumptions.</t>
        </r>
      </text>
    </comment>
    <comment ref="B33" authorId="0">
      <text>
        <r>
          <rPr>
            <sz val="10"/>
            <rFont val="Arial"/>
            <family val="2"/>
          </rPr>
          <t xml:space="preserve">The D&amp;A assumption on Forecast Assumptions is stored as a negative percentage. Convert it to a positive expense amount on the P&amp;L so it can be subtracted from EBITDA.</t>
        </r>
      </text>
    </comment>
    <comment ref="B38" authorId="0">
      <text>
        <r>
          <rPr>
            <sz val="10"/>
            <rFont val="Arial"/>
            <family val="2"/>
          </rPr>
          <t xml:space="preserve">Use Profit Before Tax and the Tax Rate from Forecast Assumptions.</t>
        </r>
      </text>
    </comment>
    <comment ref="D36" authorId="0">
      <text>
        <r>
          <rPr>
            <sz val="10"/>
            <rFont val="Arial"/>
            <family val="2"/>
          </rPr>
          <t xml:space="preserve">Provided for Task 2 only. Treat this as a positive net interest expense and subtract it from EBIT. You will replace it in Task 3 after building the cash and debt forecast.</t>
        </r>
      </text>
    </comment>
    <comment ref="E36" authorId="0">
      <text>
        <r>
          <rPr>
            <sz val="10"/>
            <rFont val="Arial"/>
            <family val="2"/>
          </rPr>
          <t xml:space="preserve">Provided for Task 2 only. Treat this as a positive net interest expense and subtract it from EBIT. You will replace it in Task 3 after building the cash and debt forecast.</t>
        </r>
      </text>
    </comment>
    <comment ref="F36" authorId="0">
      <text>
        <r>
          <rPr>
            <sz val="10"/>
            <rFont val="Arial"/>
            <family val="2"/>
          </rPr>
          <t xml:space="preserve">Provided for Task 2 only. Treat this as a positive net interest expense and subtract it from EBIT. You will replace it in Task 3 after building the cash and debt forecast.</t>
        </r>
      </text>
    </comment>
    <comment ref="G36" authorId="0">
      <text>
        <r>
          <rPr>
            <sz val="10"/>
            <rFont val="Arial"/>
            <family val="2"/>
          </rPr>
          <t xml:space="preserve">Provided for Task 2 only. Treat this as a positive net interest expense and subtract it from EBIT. You will replace it in Task 3 after building the cash and debt forecast.</t>
        </r>
      </text>
    </comment>
    <comment ref="H36" authorId="0">
      <text>
        <r>
          <rPr>
            <sz val="10"/>
            <rFont val="Arial"/>
            <family val="2"/>
          </rPr>
          <t xml:space="preserve">Provided for Task 2 only. Treat this as a positive net interest expense and subtract it from EBIT. You will replace it in Task 3 after building the cash and debt forecast.</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Link Net Profit from the P&amp;L Forecast.</t>
        </r>
      </text>
    </comment>
    <comment ref="B8" authorId="0">
      <text>
        <r>
          <rPr>
            <sz val="10"/>
            <rFont val="Arial"/>
            <family val="2"/>
          </rPr>
          <t xml:space="preserve">Link Depreciation &amp; Amortization from the P&amp;L Forecast.</t>
        </r>
      </text>
    </comment>
    <comment ref="B9" authorId="0">
      <text>
        <r>
          <rPr>
            <sz val="10"/>
            <rFont val="Arial"/>
            <family val="2"/>
          </rPr>
          <t xml:space="preserve">Use the Change in NWC assumption and forecast revenue to calculate the cash impact.</t>
        </r>
      </text>
    </comment>
    <comment ref="B13" authorId="0">
      <text>
        <r>
          <rPr>
            <sz val="10"/>
            <rFont val="Arial"/>
            <family val="2"/>
          </rPr>
          <t xml:space="preserve">Use the CapEx assumption and forecast revenue to calculate capital expenditure.</t>
        </r>
      </text>
    </comment>
    <comment ref="B17" authorId="0">
      <text>
        <r>
          <rPr>
            <sz val="10"/>
            <rFont val="Arial"/>
            <family val="2"/>
          </rPr>
          <t xml:space="preserve">Use Net Profit and the Dividend Payout Ratio to calculate dividends as a cash outflow.</t>
        </r>
      </text>
    </comment>
    <comment ref="B20" authorId="0">
      <text>
        <r>
          <rPr>
            <sz val="10"/>
            <rFont val="Arial"/>
            <family val="2"/>
          </rPr>
          <t xml:space="preserve">Use positive Cash Flow Before Debt to repay debt, but do not repay more than Opening Debt.</t>
        </r>
      </text>
    </comment>
    <comment ref="B25" authorId="0">
      <text>
        <r>
          <rPr>
            <sz val="10"/>
            <rFont val="Arial"/>
            <family val="2"/>
          </rPr>
          <t xml:space="preserve">FY2026E is provided. For later years, Opening Cash should equal the prior year Closing Cash.</t>
        </r>
      </text>
    </comment>
    <comment ref="B30" authorId="0">
      <text>
        <r>
          <rPr>
            <sz val="10"/>
            <rFont val="Arial"/>
            <family val="2"/>
          </rPr>
          <t xml:space="preserve">FY2026E is provided. For later years, Opening Debt should equal the prior year Closing Debt.</t>
        </r>
      </text>
    </comment>
    <comment ref="B36" authorId="0">
      <text>
        <r>
          <rPr>
            <sz val="10"/>
            <rFont val="Arial"/>
            <family val="2"/>
          </rPr>
          <t xml:space="preserve">Link the Debt Interest Rate from Forecast Assumptions.</t>
        </r>
      </text>
    </comment>
    <comment ref="B38" authorId="0">
      <text>
        <r>
          <rPr>
            <sz val="10"/>
            <rFont val="Arial"/>
            <family val="2"/>
          </rPr>
          <t xml:space="preserve">Link the Cash Interest Rate from Forecast Assumptions.</t>
        </r>
      </text>
    </comment>
    <comment ref="B40" authorId="0">
      <text>
        <r>
          <rPr>
            <sz val="10"/>
            <rFont val="Arial"/>
            <family val="2"/>
          </rPr>
          <t xml:space="preserve">Calculate Interest Expense less Interest Income, then link this row back to the P&amp;L Forecast.</t>
        </r>
      </text>
    </comment>
    <comment ref="D19" authorId="0">
      <text>
        <r>
          <rPr>
            <sz val="10"/>
            <rFont val="Arial"/>
            <family val="2"/>
          </rPr>
          <t xml:space="preserve">Source: Simulation task input. Assume no new debt is issued during the forecast period.</t>
        </r>
      </text>
    </comment>
    <comment ref="D25" authorId="0">
      <text>
        <r>
          <rPr>
            <sz val="10"/>
            <rFont val="Arial"/>
            <family val="2"/>
          </rPr>
          <t xml:space="preserve">Source: Simulation task input (fictional model).</t>
        </r>
      </text>
    </comment>
    <comment ref="D30" authorId="0">
      <text>
        <r>
          <rPr>
            <sz val="10"/>
            <rFont val="Arial"/>
            <family val="2"/>
          </rPr>
          <t xml:space="preserve">Source: Simulation task input (fictional model).</t>
        </r>
      </text>
    </comment>
    <comment ref="E19" authorId="0">
      <text>
        <r>
          <rPr>
            <sz val="10"/>
            <rFont val="Arial"/>
            <family val="2"/>
          </rPr>
          <t xml:space="preserve">Source: Simulation task input. Assume no new debt is issued during the forecast period.</t>
        </r>
      </text>
    </comment>
    <comment ref="F19" authorId="0">
      <text>
        <r>
          <rPr>
            <sz val="10"/>
            <rFont val="Arial"/>
            <family val="2"/>
          </rPr>
          <t xml:space="preserve">Source: Simulation task input. Assume no new debt is issued during the forecast period.</t>
        </r>
      </text>
    </comment>
    <comment ref="G19" authorId="0">
      <text>
        <r>
          <rPr>
            <sz val="10"/>
            <rFont val="Arial"/>
            <family val="2"/>
          </rPr>
          <t xml:space="preserve">Source: Simulation task input. Assume no new debt is issued during the forecast period.</t>
        </r>
      </text>
    </comment>
    <comment ref="H19" authorId="0">
      <text>
        <r>
          <rPr>
            <sz val="10"/>
            <rFont val="Arial"/>
            <family val="2"/>
          </rPr>
          <t xml:space="preserve">Source: Simulation task input. Assume no new debt is issued during the forecast period.</t>
        </r>
      </text>
    </comment>
  </commentList>
</comments>
</file>

<file path=xl/sharedStrings.xml><?xml version="1.0" encoding="utf-8"?>
<sst xmlns="http://schemas.openxmlformats.org/spreadsheetml/2006/main" count="320" uniqueCount="159">
  <si>
    <t xml:space="preserve">Forecast Assumptions | Business Information</t>
  </si>
  <si>
    <t xml:space="preserve">How to use this workbook</t>
  </si>
  <si>
    <t xml:space="preserve">This workbook contains the completed forecast assumptions and P&amp;L from Tasks 1 and 2. Use those completed worksheets to build the Cash Flow &amp; Debt Forecast. Link to existing cells rather than re-entering values.</t>
  </si>
  <si>
    <t xml:space="preserve">Revenue</t>
  </si>
  <si>
    <t xml:space="preserve">Product</t>
  </si>
  <si>
    <t xml:space="preserve">FY2026E starting units</t>
  </si>
  <si>
    <t xml:space="preserve">FY2026E avg. sale price</t>
  </si>
  <si>
    <t xml:space="preserve">Forecast rule</t>
  </si>
  <si>
    <t xml:space="preserve">Baked Goods</t>
  </si>
  <si>
    <t xml:space="preserve">From FY2027E, unit growth is 10%. Reduce the growth rate by 1 percentage point each year thereafter (9%, 8%, 7%). Average sale price grows 4% per year from FY2027E.</t>
  </si>
  <si>
    <t xml:space="preserve">Frozen Desserts</t>
  </si>
  <si>
    <t xml:space="preserve">Beverages</t>
  </si>
  <si>
    <t xml:space="preserve">Costs</t>
  </si>
  <si>
    <t xml:space="preserve">Driver</t>
  </si>
  <si>
    <t xml:space="preserve">FY2026E starting value</t>
  </si>
  <si>
    <t xml:space="preserve">Unit</t>
  </si>
  <si>
    <t xml:space="preserve">COGS per Baked Good</t>
  </si>
  <si>
    <t xml:space="preserve">$ per unit</t>
  </si>
  <si>
    <t xml:space="preserve">Increase by 2% per year from FY2027E.</t>
  </si>
  <si>
    <t xml:space="preserve">COGS per Frozen Dessert</t>
  </si>
  <si>
    <t xml:space="preserve">COGS per Beverage</t>
  </si>
  <si>
    <t xml:space="preserve">Staff Costs</t>
  </si>
  <si>
    <t xml:space="preserve">$</t>
  </si>
  <si>
    <t xml:space="preserve">Increase by 5% per year from FY2027E.</t>
  </si>
  <si>
    <t xml:space="preserve">Occupancy Costs</t>
  </si>
  <si>
    <t xml:space="preserve">Increase by 3% per year from FY2027E.</t>
  </si>
  <si>
    <t xml:space="preserve">Marketing Costs</t>
  </si>
  <si>
    <t xml:space="preserve">Other Operating Costs</t>
  </si>
  <si>
    <t xml:space="preserve">Annual D&amp;A</t>
  </si>
  <si>
    <t xml:space="preserve">% of revenue</t>
  </si>
  <si>
    <t xml:space="preserve">Increase by 0.25 percentage points each year (for example, -5.00% becomes -4.75% in FY2027E).</t>
  </si>
  <si>
    <t xml:space="preserve">Cash Flow</t>
  </si>
  <si>
    <t xml:space="preserve">Starting value</t>
  </si>
  <si>
    <t xml:space="preserve">Capital Expenditure (CapEx)</t>
  </si>
  <si>
    <t xml:space="preserve">Linked to D&amp;A</t>
  </si>
  <si>
    <t xml:space="preserve">Set CapEx equal to the Annual D&amp;A percentage in each forecast year.</t>
  </si>
  <si>
    <t xml:space="preserve">Change in Net Working Capital (NWC)</t>
  </si>
  <si>
    <t xml:space="preserve">Use -1.0% of revenue in every forecast year.</t>
  </si>
  <si>
    <t xml:space="preserve">Dividend Payout Ratio</t>
  </si>
  <si>
    <t xml:space="preserve">%</t>
  </si>
  <si>
    <t xml:space="preserve">Use 60.0% in every forecast year.</t>
  </si>
  <si>
    <t xml:space="preserve">Other</t>
  </si>
  <si>
    <t xml:space="preserve">Tax Rate</t>
  </si>
  <si>
    <t xml:space="preserve">Use 21.0% in every forecast year.</t>
  </si>
  <si>
    <t xml:space="preserve">Debt Interest Rate</t>
  </si>
  <si>
    <t xml:space="preserve">Use 4.0% in every forecast year.</t>
  </si>
  <si>
    <t xml:space="preserve">Cash Interest Rate</t>
  </si>
  <si>
    <t xml:space="preserve">Use 1.0% in every forecast year.</t>
  </si>
  <si>
    <t xml:space="preserve">Forecast Assumptions</t>
  </si>
  <si>
    <t xml:space="preserve">This worksheet contains the completed forecast assumptions from Task 1. Use these values as inputs throughout the model and link to them rather than retyping them.</t>
  </si>
  <si>
    <t xml:space="preserve">FY2026E</t>
  </si>
  <si>
    <t xml:space="preserve">FY2027E</t>
  </si>
  <si>
    <t xml:space="preserve">FY2028E</t>
  </si>
  <si>
    <t xml:space="preserve">FY2029E</t>
  </si>
  <si>
    <t xml:space="preserve">FY2030E</t>
  </si>
  <si>
    <t xml:space="preserve">Number of Units Sold</t>
  </si>
  <si>
    <t xml:space="preserve">#</t>
  </si>
  <si>
    <t xml:space="preserve">Average Sale Price</t>
  </si>
  <si>
    <t xml:space="preserve">Cost of Goods Sold (COGS)</t>
  </si>
  <si>
    <t xml:space="preserve">Operating Expenses (OpEx)</t>
  </si>
  <si>
    <t xml:space="preserve">Depreciation &amp; Amortization (D&amp;A)</t>
  </si>
  <si>
    <t xml:space="preserve">Tip: Check that percentages, dollar values, and unit counts use the correct number format before submitting your workbook.</t>
  </si>
  <si>
    <t xml:space="preserve">P&amp;L Forecast</t>
  </si>
  <si>
    <t xml:space="preserve">This worksheet contains the completed P&amp;L from Task 2. After calculating Net Interest Expense in Task 3, replace the temporary interest values in row 36 with links to the Cash Flow &amp; Debt Forecast.</t>
  </si>
  <si>
    <t xml:space="preserve">P&amp;L Line</t>
  </si>
  <si>
    <t xml:space="preserve">Baked Goods Revenue</t>
  </si>
  <si>
    <t xml:space="preserve">Frozen Desserts Revenue</t>
  </si>
  <si>
    <t xml:space="preserve">Beverages Revenue</t>
  </si>
  <si>
    <t xml:space="preserve">Total Revenue</t>
  </si>
  <si>
    <t xml:space="preserve">Revenue Growth</t>
  </si>
  <si>
    <t xml:space="preserve">—</t>
  </si>
  <si>
    <t xml:space="preserve">Cost of Goods Sold</t>
  </si>
  <si>
    <t xml:space="preserve">Baked Goods COGS</t>
  </si>
  <si>
    <t xml:space="preserve">Frozen Desserts COGS</t>
  </si>
  <si>
    <t xml:space="preserve">Beverages COGS</t>
  </si>
  <si>
    <t xml:space="preserve">Total Cost of Goods Sold</t>
  </si>
  <si>
    <t xml:space="preserve">Gross Profit</t>
  </si>
  <si>
    <t xml:space="preserve">Gross Margin</t>
  </si>
  <si>
    <t xml:space="preserve">Operating Expenses</t>
  </si>
  <si>
    <t xml:space="preserve">Total Operating Expenses</t>
  </si>
  <si>
    <t xml:space="preserve">EBITDA</t>
  </si>
  <si>
    <t xml:space="preserve">EBITDA Margin</t>
  </si>
  <si>
    <t xml:space="preserve">Profit After D&amp;A, Interest and Tax</t>
  </si>
  <si>
    <t xml:space="preserve">Depreciation &amp; Amortization</t>
  </si>
  <si>
    <t xml:space="preserve">EBIT</t>
  </si>
  <si>
    <t xml:space="preserve">Net Interest Expense</t>
  </si>
  <si>
    <t xml:space="preserve">Profit Before Tax</t>
  </si>
  <si>
    <t xml:space="preserve">Tax Expense</t>
  </si>
  <si>
    <t xml:space="preserve">Net Profit</t>
  </si>
  <si>
    <t xml:space="preserve">Net Interest Expense is now linked to the completed Cash Flow &amp; Debt Forecast. Profit Before Tax, Tax Expense, and Net Profit update automatically from the connected interest calculations.</t>
  </si>
  <si>
    <t xml:space="preserve">Modeling key</t>
  </si>
  <si>
    <t xml:space="preserve">Light-blue cells</t>
  </si>
  <si>
    <t xml:space="preserve">Complete these cells.</t>
  </si>
  <si>
    <t xml:space="preserve">Green text</t>
  </si>
  <si>
    <t xml:space="preserve">Use a formula that links to another worksheet.</t>
  </si>
  <si>
    <t xml:space="preserve">Black text</t>
  </si>
  <si>
    <t xml:space="preserve">Use a formula calculated within the P&amp;L.</t>
  </si>
  <si>
    <t xml:space="preserve">Green text / linked values</t>
  </si>
  <si>
    <t xml:space="preserve">Linked to another worksheet in the completed model.</t>
  </si>
  <si>
    <t xml:space="preserve">Tip: Link assumptions rather than retyping them. Check that your formulas extend across all five forecast years. In this P&amp;L, expense lines are shown as positive amounts and subtracted when calculating profit subtotals.</t>
  </si>
  <si>
    <t xml:space="preserve">Cash Flow &amp; Debt Forecast</t>
  </si>
  <si>
    <t xml:space="preserve">Complete every light blue cell. Link to the completed P&amp;L and Forecast Assumptions, then build the cash, debt, and interest calculations across FY2026E–FY2030E.</t>
  </si>
  <si>
    <t xml:space="preserve">Cash Flow / Debt Line</t>
  </si>
  <si>
    <t xml:space="preserve">Operating Cash Flow</t>
  </si>
  <si>
    <t xml:space="preserve">Change in Net Working Capital</t>
  </si>
  <si>
    <t xml:space="preserve">Investing Cash Flow</t>
  </si>
  <si>
    <t xml:space="preserve">Capital Expenditure</t>
  </si>
  <si>
    <t xml:space="preserve">Financing Cash Flow</t>
  </si>
  <si>
    <t xml:space="preserve">Dividends</t>
  </si>
  <si>
    <t xml:space="preserve">Cash Flow Before Debt</t>
  </si>
  <si>
    <t xml:space="preserve">Debt Issued</t>
  </si>
  <si>
    <t xml:space="preserve">Debt Repayment</t>
  </si>
  <si>
    <t xml:space="preserve">Net Cash Flow</t>
  </si>
  <si>
    <t xml:space="preserve">Cash Schedule</t>
  </si>
  <si>
    <t xml:space="preserve">Opening Cash</t>
  </si>
  <si>
    <t xml:space="preserve">Closing Cash</t>
  </si>
  <si>
    <t xml:space="preserve">Supporting Debt Schedule</t>
  </si>
  <si>
    <t xml:space="preserve">Opening Debt</t>
  </si>
  <si>
    <t xml:space="preserve">Closing Debt</t>
  </si>
  <si>
    <t xml:space="preserve">Interest Calculations</t>
  </si>
  <si>
    <t xml:space="preserve">Interest Expense</t>
  </si>
  <si>
    <t xml:space="preserve">Interest Income</t>
  </si>
  <si>
    <t xml:space="preserve">Modeling Instructions</t>
  </si>
  <si>
    <t xml:space="preserve">Start with the completed P&amp;L and Forecast Assumptions. Link existing values instead of re-entering them.</t>
  </si>
  <si>
    <t xml:space="preserve">FY2026E Opening Cash ($15,000) and Opening Debt ($400,000) are provided. Roll each closing balance into the next year's opening balance.</t>
  </si>
  <si>
    <t xml:space="preserve">Assume no new debt is issued. Use positive Cash Flow Before Debt to repay debt, up to the amount of Opening Debt. Once debt is repaid, excess cash remains as Closing Cash.</t>
  </si>
  <si>
    <t xml:space="preserve">Calculate interest using Opening Debt and Opening Cash for each year. Net Interest Expense = Interest Expense - Interest Income.</t>
  </si>
  <si>
    <t xml:space="preserve">After completing Net Interest Expense, replace the Temporary Net Interest Expense values on the P&amp;L with links to this worksheet and confirm the model updates correctly.</t>
  </si>
  <si>
    <t xml:space="preserve">Complete these cells with links or formulas.</t>
  </si>
  <si>
    <t xml:space="preserve">Green row labels</t>
  </si>
  <si>
    <t xml:space="preserve">This row should link to another worksheet.</t>
  </si>
  <si>
    <t xml:space="preserve">Black calculations</t>
  </si>
  <si>
    <t xml:space="preserve">Calculate within the Cash Flow &amp; Debt Forecast worksheet.</t>
  </si>
  <si>
    <t xml:space="preserve">Blue text / yellow fill</t>
  </si>
  <si>
    <t xml:space="preserve">Provided task input; use it as given.</t>
  </si>
  <si>
    <t xml:space="preserve">Financial Modeling Glossary</t>
  </si>
  <si>
    <t xml:space="preserve">Term</t>
  </si>
  <si>
    <t xml:space="preserve">Definition</t>
  </si>
  <si>
    <t xml:space="preserve">Spending on long-term assets such as equipment, property, or technology that supports the business over multiple periods.</t>
  </si>
  <si>
    <t xml:space="preserve">The direct costs associated with producing the goods or services sold by a business.</t>
  </si>
  <si>
    <t xml:space="preserve">Non-cash expenses that allocate the cost of tangible and intangible assets over their useful lives.</t>
  </si>
  <si>
    <t xml:space="preserve">The percentage of net profit distributed to shareholders as dividends.</t>
  </si>
  <si>
    <t xml:space="preserve">Earnings before interest, taxes, depreciation, and amortization. It is commonly used as a measure of operating profitability before financing, tax, and non-cash D&amp;A expenses.</t>
  </si>
  <si>
    <t xml:space="preserve">Earnings before interest and taxes. It represents operating profit after depreciation and amortization.</t>
  </si>
  <si>
    <t xml:space="preserve">Net Working Capital (NWC)</t>
  </si>
  <si>
    <t xml:space="preserve">A measure of short-term operating assets and liabilities. Changes in NWC can either use or release cash.</t>
  </si>
  <si>
    <t xml:space="preserve">Ongoing costs of running the business that are not direct product costs, such as staff, occupancy, marketing, and administrative costs.</t>
  </si>
  <si>
    <t xml:space="preserve">Profit &amp; Loss Statement (P&amp;L)</t>
  </si>
  <si>
    <t xml:space="preserve">A financial statement that summarizes revenue, expenses, and profit or loss over a period of time.</t>
  </si>
  <si>
    <t xml:space="preserve">Working Capital</t>
  </si>
  <si>
    <t xml:space="preserve">The short-term resources needed to support day-to-day operations, including items such as receivables, inventory, and payables.</t>
  </si>
  <si>
    <t xml:space="preserve">Cash Flow Forecast</t>
  </si>
  <si>
    <t xml:space="preserve">A forecast showing how cash is generated and used across operating, investing, and financing activities over time.</t>
  </si>
  <si>
    <t xml:space="preserve">Cash used to reduce the amount of debt outstanding.</t>
  </si>
  <si>
    <t xml:space="preserve">The cost of borrowing money, typically calculated using a debt balance and an interest rate.</t>
  </si>
  <si>
    <t xml:space="preserve">Income earned on cash balances, typically calculated using a cash balance and an interest rate.</t>
  </si>
  <si>
    <t xml:space="preserve">Interest expense less interest income. This amount is linked back to the P&amp;L when calculating Profit Before Tax.</t>
  </si>
  <si>
    <t xml:space="preserve">The cash balance available at the beginning of a forecast period.</t>
  </si>
  <si>
    <t xml:space="preserve">The cash balance at the end of a forecast period after adding Net Cash Flow to Opening Cash.</t>
  </si>
</sst>
</file>

<file path=xl/styles.xml><?xml version="1.0" encoding="utf-8"?>
<styleSheet xmlns="http://schemas.openxmlformats.org/spreadsheetml/2006/main">
  <numFmts count="9">
    <numFmt numFmtId="164" formatCode="General"/>
    <numFmt numFmtId="165" formatCode="#,##0"/>
    <numFmt numFmtId="166" formatCode="\$0.00"/>
    <numFmt numFmtId="167" formatCode="\$#,##0"/>
    <numFmt numFmtId="168" formatCode="0.00%"/>
    <numFmt numFmtId="169" formatCode="0.0%"/>
    <numFmt numFmtId="170" formatCode="\$#,##0.00"/>
    <numFmt numFmtId="171" formatCode="\$#,##0;[RED]&quot;($&quot;#,##0\);\-"/>
    <numFmt numFmtId="172" formatCode="0.0%;[RED]\(0.0%\);\-"/>
  </numFmts>
  <fonts count="32">
    <font>
      <sz val="11"/>
      <color theme="1"/>
      <name val="Calibri"/>
      <family val="2"/>
      <charset val="1"/>
    </font>
    <font>
      <sz val="10"/>
      <name val="Arial"/>
      <family val="0"/>
    </font>
    <font>
      <sz val="10"/>
      <name val="Arial"/>
      <family val="0"/>
    </font>
    <font>
      <sz val="10"/>
      <name val="Arial"/>
      <family val="0"/>
    </font>
    <font>
      <b val="true"/>
      <sz val="18"/>
      <color rgb="FFFFFFFF"/>
      <name val="Aptos Display"/>
      <family val="0"/>
      <charset val="1"/>
    </font>
    <font>
      <b val="true"/>
      <sz val="12"/>
      <color rgb="FF17365D"/>
      <name val="Calibri"/>
      <family val="0"/>
      <charset val="1"/>
    </font>
    <font>
      <sz val="10"/>
      <color rgb="FF000000"/>
      <name val="Calibri"/>
      <family val="0"/>
      <charset val="1"/>
    </font>
    <font>
      <b val="true"/>
      <sz val="11"/>
      <color rgb="FFFFFFFF"/>
      <name val="Calibri"/>
      <family val="0"/>
      <charset val="1"/>
    </font>
    <font>
      <b val="true"/>
      <sz val="11"/>
      <color rgb="FF17365D"/>
      <name val="Calibri"/>
      <family val="0"/>
      <charset val="1"/>
    </font>
    <font>
      <i val="true"/>
      <sz val="9"/>
      <color rgb="FF666666"/>
      <name val="Calibri"/>
      <family val="0"/>
      <charset val="1"/>
    </font>
    <font>
      <sz val="11"/>
      <color rgb="FF666666"/>
      <name val="Calibri"/>
      <family val="0"/>
      <charset val="1"/>
    </font>
    <font>
      <sz val="11"/>
      <color rgb="FF0000FF"/>
      <name val="Calibri"/>
      <family val="2"/>
      <charset val="1"/>
    </font>
    <font>
      <sz val="11"/>
      <color rgb="FF000000"/>
      <name val="Calibri"/>
      <family val="2"/>
      <charset val="1"/>
    </font>
    <font>
      <sz val="10"/>
      <name val="Arial"/>
      <family val="2"/>
    </font>
    <font>
      <sz val="9"/>
      <color rgb="FF666666"/>
      <name val="Calibri"/>
      <family val="0"/>
      <charset val="1"/>
    </font>
    <font>
      <sz val="11"/>
      <color rgb="FF000000"/>
      <name val="Calibri"/>
      <family val="0"/>
      <charset val="1"/>
    </font>
    <font>
      <sz val="11"/>
      <color rgb="FF008000"/>
      <name val="Calibri"/>
      <family val="0"/>
      <charset val="1"/>
    </font>
    <font>
      <i val="true"/>
      <sz val="11"/>
      <color rgb="FF666666"/>
      <name val="Calibri"/>
      <family val="0"/>
      <charset val="1"/>
    </font>
    <font>
      <b val="true"/>
      <sz val="11"/>
      <color rgb="FF000000"/>
      <name val="Calibri"/>
      <family val="0"/>
      <charset val="1"/>
    </font>
    <font>
      <sz val="11"/>
      <color rgb="FF0000FF"/>
      <name val="Calibri"/>
      <family val="0"/>
      <charset val="1"/>
    </font>
    <font>
      <b val="true"/>
      <sz val="18"/>
      <color rgb="FF17365D"/>
      <name val="Aptos Display"/>
      <family val="0"/>
      <charset val="1"/>
    </font>
    <font>
      <i val="true"/>
      <sz val="10"/>
      <color rgb="FF666666"/>
      <name val="Aptos"/>
      <family val="0"/>
      <charset val="1"/>
    </font>
    <font>
      <b val="true"/>
      <sz val="10"/>
      <color rgb="FFFFFFFF"/>
      <name val="Aptos"/>
      <family val="0"/>
      <charset val="1"/>
    </font>
    <font>
      <sz val="10"/>
      <color rgb="FF008000"/>
      <name val="Aptos"/>
      <family val="0"/>
      <charset val="1"/>
    </font>
    <font>
      <sz val="10"/>
      <color rgb="FF666666"/>
      <name val="Aptos"/>
      <family val="0"/>
      <charset val="1"/>
    </font>
    <font>
      <sz val="10"/>
      <color rgb="FF000000"/>
      <name val="Aptos"/>
      <family val="0"/>
      <charset val="1"/>
    </font>
    <font>
      <b val="true"/>
      <sz val="10"/>
      <color rgb="FF000000"/>
      <name val="Aptos"/>
      <family val="0"/>
      <charset val="1"/>
    </font>
    <font>
      <sz val="10"/>
      <color rgb="FF0000FF"/>
      <name val="Aptos"/>
      <family val="0"/>
      <charset val="1"/>
    </font>
    <font>
      <sz val="9"/>
      <color rgb="FF000000"/>
      <name val="Aptos"/>
      <family val="0"/>
      <charset val="1"/>
    </font>
    <font>
      <b val="true"/>
      <sz val="10"/>
      <color rgb="FF17365D"/>
      <name val="Aptos"/>
      <family val="0"/>
      <charset val="1"/>
    </font>
    <font>
      <b val="true"/>
      <sz val="9"/>
      <color rgb="FF000000"/>
      <name val="Aptos"/>
      <family val="0"/>
      <charset val="1"/>
    </font>
    <font>
      <sz val="9"/>
      <color rgb="FF666666"/>
      <name val="Aptos"/>
      <family val="0"/>
      <charset val="1"/>
    </font>
  </fonts>
  <fills count="9">
    <fill>
      <patternFill patternType="none"/>
    </fill>
    <fill>
      <patternFill patternType="gray125"/>
    </fill>
    <fill>
      <patternFill patternType="solid">
        <fgColor rgb="FF17365D"/>
        <bgColor rgb="FF333333"/>
      </patternFill>
    </fill>
    <fill>
      <patternFill patternType="solid">
        <fgColor rgb="FFEAF4FB"/>
        <bgColor rgb="FFF3F4F6"/>
      </patternFill>
    </fill>
    <fill>
      <patternFill patternType="solid">
        <fgColor rgb="FF1F4E78"/>
        <bgColor rgb="FF17365D"/>
      </patternFill>
    </fill>
    <fill>
      <patternFill patternType="solid">
        <fgColor rgb="FFF3F4F6"/>
        <bgColor rgb="FFEAF4FB"/>
      </patternFill>
    </fill>
    <fill>
      <patternFill patternType="solid">
        <fgColor rgb="FFD9EAF7"/>
        <bgColor rgb="FFDDEBF7"/>
      </patternFill>
    </fill>
    <fill>
      <patternFill patternType="solid">
        <fgColor rgb="FFFFF2CC"/>
        <bgColor rgb="FFF3F4F6"/>
      </patternFill>
    </fill>
    <fill>
      <patternFill patternType="solid">
        <fgColor rgb="FFDDEBF7"/>
        <bgColor rgb="FFD9EAF7"/>
      </patternFill>
    </fill>
  </fills>
  <borders count="4">
    <border diagonalUp="false" diagonalDown="false">
      <left/>
      <right/>
      <top/>
      <bottom/>
      <diagonal/>
    </border>
    <border diagonalUp="false" diagonalDown="false">
      <left/>
      <right/>
      <top/>
      <bottom style="thin">
        <color rgb="FFB8C2CC"/>
      </bottom>
      <diagonal/>
    </border>
    <border diagonalUp="false" diagonalDown="false">
      <left/>
      <right/>
      <top style="thin">
        <color rgb="FFB8C2CC"/>
      </top>
      <bottom/>
      <diagonal/>
    </border>
    <border diagonalUp="false" diagonalDown="false">
      <left/>
      <right/>
      <top style="thin">
        <color rgb="FF17365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4" borderId="0"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general" vertical="top" textRotation="0" wrapText="true" indent="0" shrinkToFit="false"/>
      <protection locked="true" hidden="false"/>
    </xf>
    <xf numFmtId="169" fontId="0" fillId="0" borderId="1" xfId="0" applyFont="fals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1"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1" fillId="6" borderId="1" xfId="0" applyFont="true" applyBorder="true" applyAlignment="true" applyProtection="false">
      <alignment horizontal="general" vertical="bottom" textRotation="0" wrapText="false" indent="0" shrinkToFit="false"/>
      <protection locked="true" hidden="false"/>
    </xf>
    <xf numFmtId="165" fontId="12" fillId="6" borderId="1" xfId="0" applyFont="true" applyBorder="true" applyAlignment="true" applyProtection="false">
      <alignment horizontal="general" vertical="bottom" textRotation="0" wrapText="false" indent="0" shrinkToFit="false"/>
      <protection locked="true" hidden="false"/>
    </xf>
    <xf numFmtId="167" fontId="11" fillId="6" borderId="1" xfId="0" applyFont="true" applyBorder="true" applyAlignment="true" applyProtection="false">
      <alignment horizontal="general" vertical="bottom" textRotation="0" wrapText="false" indent="0" shrinkToFit="false"/>
      <protection locked="true" hidden="false"/>
    </xf>
    <xf numFmtId="167" fontId="12" fillId="6" borderId="1" xfId="0" applyFont="true" applyBorder="true" applyAlignment="true" applyProtection="false">
      <alignment horizontal="general" vertical="bottom" textRotation="0" wrapText="false" indent="0" shrinkToFit="false"/>
      <protection locked="true" hidden="false"/>
    </xf>
    <xf numFmtId="170" fontId="11" fillId="6" borderId="1" xfId="0" applyFont="true" applyBorder="true" applyAlignment="true" applyProtection="false">
      <alignment horizontal="general" vertical="bottom" textRotation="0" wrapText="false" indent="0" shrinkToFit="false"/>
      <protection locked="true" hidden="false"/>
    </xf>
    <xf numFmtId="170" fontId="12" fillId="6" borderId="1" xfId="0" applyFont="true" applyBorder="true" applyAlignment="true" applyProtection="false">
      <alignment horizontal="general" vertical="bottom" textRotation="0" wrapText="false" indent="0" shrinkToFit="false"/>
      <protection locked="true" hidden="false"/>
    </xf>
    <xf numFmtId="168" fontId="11" fillId="6" borderId="1" xfId="0" applyFont="true" applyBorder="true" applyAlignment="true" applyProtection="false">
      <alignment horizontal="general" vertical="bottom" textRotation="0" wrapText="false" indent="0" shrinkToFit="false"/>
      <protection locked="true" hidden="false"/>
    </xf>
    <xf numFmtId="168" fontId="12" fillId="6"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71" fontId="16" fillId="6" borderId="1" xfId="0" applyFont="true" applyBorder="true" applyAlignment="true" applyProtection="false">
      <alignment horizontal="right" vertical="bottom"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71" fontId="15" fillId="6" borderId="1"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1" shrinkToFit="false"/>
      <protection locked="true" hidden="false"/>
    </xf>
    <xf numFmtId="164" fontId="17" fillId="5" borderId="1" xfId="0" applyFont="true" applyBorder="true" applyAlignment="true" applyProtection="false">
      <alignment horizontal="center" vertical="bottom" textRotation="0" wrapText="false" indent="0" shrinkToFit="false"/>
      <protection locked="true" hidden="false"/>
    </xf>
    <xf numFmtId="172" fontId="15" fillId="6" borderId="1" xfId="0" applyFont="true" applyBorder="true" applyAlignment="true" applyProtection="false">
      <alignment horizontal="right" vertical="bottom" textRotation="0" wrapText="false" indent="0" shrinkToFit="false"/>
      <protection locked="true" hidden="false"/>
    </xf>
    <xf numFmtId="164" fontId="8" fillId="5" borderId="2" xfId="0" applyFont="true" applyBorder="true" applyAlignment="true" applyProtection="false">
      <alignment horizontal="general"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15" fillId="7" borderId="0" xfId="0" applyFont="true" applyBorder="false" applyAlignment="true" applyProtection="false">
      <alignment horizontal="general"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8" fillId="6"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9" fillId="7"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left" vertical="center" textRotation="0" wrapText="false" indent="0" shrinkToFit="false"/>
      <protection locked="true" hidden="false"/>
    </xf>
    <xf numFmtId="164" fontId="21" fillId="0" borderId="0" xfId="0" applyFont="true" applyBorder="true" applyAlignment="true" applyProtection="false">
      <alignment horizontal="left" vertical="center" textRotation="0" wrapText="true" indent="0" shrinkToFit="false"/>
      <protection locked="true" hidden="false"/>
    </xf>
    <xf numFmtId="164" fontId="22" fillId="2" borderId="0" xfId="0" applyFont="true" applyBorder="false" applyAlignment="true" applyProtection="false">
      <alignment horizontal="left" vertical="center" textRotation="0" wrapText="false" indent="0" shrinkToFit="false"/>
      <protection locked="true" hidden="false"/>
    </xf>
    <xf numFmtId="164" fontId="22" fillId="2" borderId="0" xfId="0" applyFont="true" applyBorder="false" applyAlignment="true" applyProtection="false">
      <alignment horizontal="right" vertical="center" textRotation="0" wrapText="fals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1"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71" fontId="25" fillId="8" borderId="0" xfId="0" applyFont="true" applyBorder="false" applyAlignment="true" applyProtection="false">
      <alignment horizontal="right" vertical="bottom" textRotation="0" wrapText="false" indent="0" shrinkToFit="false"/>
      <protection locked="true" hidden="false"/>
    </xf>
    <xf numFmtId="164" fontId="26" fillId="0" borderId="3" xfId="0" applyFont="true" applyBorder="true" applyAlignment="true" applyProtection="false">
      <alignment horizontal="left" vertical="bottom" textRotation="0" wrapText="false" indent="0" shrinkToFit="false"/>
      <protection locked="true" hidden="false"/>
    </xf>
    <xf numFmtId="164" fontId="24" fillId="0" borderId="3" xfId="0" applyFont="true" applyBorder="true" applyAlignment="true" applyProtection="false">
      <alignment horizontal="left" vertical="bottom" textRotation="0" wrapText="false" indent="0" shrinkToFit="false"/>
      <protection locked="true" hidden="false"/>
    </xf>
    <xf numFmtId="171" fontId="25" fillId="8" borderId="3" xfId="0" applyFont="true" applyBorder="true" applyAlignment="true" applyProtection="false">
      <alignment horizontal="right"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1" shrinkToFit="false"/>
      <protection locked="true" hidden="false"/>
    </xf>
    <xf numFmtId="171" fontId="27" fillId="7"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2" fontId="25" fillId="8" borderId="0" xfId="0" applyFont="true" applyBorder="false" applyAlignment="true" applyProtection="false">
      <alignment horizontal="right" vertical="bottom" textRotation="0" wrapText="false" indent="0" shrinkToFit="false"/>
      <protection locked="true" hidden="false"/>
    </xf>
    <xf numFmtId="164" fontId="28" fillId="0" borderId="0" xfId="0" applyFont="true" applyBorder="true" applyAlignment="true" applyProtection="false">
      <alignment horizontal="left" vertical="center" textRotation="0" wrapText="true" indent="0" shrinkToFit="false"/>
      <protection locked="true" hidden="false"/>
    </xf>
    <xf numFmtId="164" fontId="29" fillId="0" borderId="0" xfId="0" applyFont="true" applyBorder="tru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left"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2CC"/>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DEBF7"/>
      <rgbColor rgb="FFEAF4FB"/>
      <rgbColor rgb="FFF3F4F6"/>
      <rgbColor rgb="FF99CCFF"/>
      <rgbColor rgb="FFFF99CC"/>
      <rgbColor rgb="FFCC99FF"/>
      <rgbColor rgb="FFFFCC99"/>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26" activePane="bottomLeft" state="frozen"/>
      <selection pane="topLeft" activeCell="A1" activeCellId="0" sqref="A1"/>
      <selection pane="bottomLeft" activeCell="E25" activeCellId="0" sqref="E25"/>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4" min="3" style="1" width="20"/>
    <col collapsed="false" customWidth="true" hidden="false" outlineLevel="0" max="5" min="5" style="1" width="50"/>
    <col collapsed="false" customWidth="true" hidden="false" outlineLevel="0" max="6" min="6" style="1" width="4"/>
  </cols>
  <sheetData>
    <row r="1" customFormat="false" ht="30" hidden="false" customHeight="true" outlineLevel="0" collapsed="false">
      <c r="B1" s="2" t="s">
        <v>0</v>
      </c>
      <c r="C1" s="2"/>
      <c r="D1" s="2"/>
      <c r="E1" s="2"/>
    </row>
    <row r="3" customFormat="false" ht="15" hidden="false" customHeight="true" outlineLevel="0" collapsed="false">
      <c r="B3" s="3" t="s">
        <v>1</v>
      </c>
      <c r="C3" s="3"/>
      <c r="D3" s="3"/>
      <c r="E3" s="3"/>
    </row>
    <row r="4" customFormat="false" ht="61.5" hidden="false" customHeight="true" outlineLevel="0" collapsed="false">
      <c r="B4" s="4" t="s">
        <v>2</v>
      </c>
      <c r="C4" s="4"/>
      <c r="D4" s="4"/>
      <c r="E4" s="4"/>
    </row>
    <row r="6" customFormat="false" ht="14.25" hidden="false" customHeight="true" outlineLevel="0" collapsed="false">
      <c r="B6" s="5" t="s">
        <v>3</v>
      </c>
      <c r="C6" s="5"/>
      <c r="D6" s="5"/>
      <c r="E6" s="5"/>
    </row>
    <row r="7" customFormat="false" ht="28.5" hidden="false" customHeight="true" outlineLevel="0" collapsed="false">
      <c r="B7" s="6" t="s">
        <v>4</v>
      </c>
      <c r="C7" s="6" t="s">
        <v>5</v>
      </c>
      <c r="D7" s="6" t="s">
        <v>6</v>
      </c>
      <c r="E7" s="6" t="s">
        <v>7</v>
      </c>
    </row>
    <row r="8" customFormat="false" ht="51.75" hidden="false" customHeight="true" outlineLevel="0" collapsed="false">
      <c r="B8" s="7" t="s">
        <v>8</v>
      </c>
      <c r="C8" s="8" t="n">
        <v>100000</v>
      </c>
      <c r="D8" s="9" t="n">
        <v>4</v>
      </c>
      <c r="E8" s="7" t="s">
        <v>9</v>
      </c>
    </row>
    <row r="9" customFormat="false" ht="51.75" hidden="false" customHeight="true" outlineLevel="0" collapsed="false">
      <c r="B9" s="7" t="s">
        <v>10</v>
      </c>
      <c r="C9" s="8" t="n">
        <v>60000</v>
      </c>
      <c r="D9" s="9" t="n">
        <v>3</v>
      </c>
      <c r="E9" s="7" t="s">
        <v>9</v>
      </c>
    </row>
    <row r="10" customFormat="false" ht="51.75" hidden="false" customHeight="true" outlineLevel="0" collapsed="false">
      <c r="B10" s="7" t="s">
        <v>11</v>
      </c>
      <c r="C10" s="8" t="n">
        <v>50000</v>
      </c>
      <c r="D10" s="9" t="n">
        <v>2.5</v>
      </c>
      <c r="E10" s="7" t="s">
        <v>9</v>
      </c>
    </row>
    <row r="12" customFormat="false" ht="14.25" hidden="false" customHeight="true" outlineLevel="0" collapsed="false">
      <c r="B12" s="5" t="s">
        <v>12</v>
      </c>
      <c r="C12" s="5"/>
      <c r="D12" s="5"/>
      <c r="E12" s="5"/>
    </row>
    <row r="13" customFormat="false" ht="27.75" hidden="false" customHeight="true" outlineLevel="0" collapsed="false">
      <c r="B13" s="6" t="s">
        <v>13</v>
      </c>
      <c r="C13" s="6" t="s">
        <v>14</v>
      </c>
      <c r="D13" s="6" t="s">
        <v>15</v>
      </c>
      <c r="E13" s="6" t="s">
        <v>7</v>
      </c>
    </row>
    <row r="14" customFormat="false" ht="33.75" hidden="false" customHeight="true" outlineLevel="0" collapsed="false">
      <c r="B14" s="7" t="s">
        <v>16</v>
      </c>
      <c r="C14" s="9" t="n">
        <v>1.5</v>
      </c>
      <c r="D14" s="7" t="s">
        <v>17</v>
      </c>
      <c r="E14" s="7" t="s">
        <v>18</v>
      </c>
    </row>
    <row r="15" customFormat="false" ht="33.75" hidden="false" customHeight="true" outlineLevel="0" collapsed="false">
      <c r="B15" s="7" t="s">
        <v>19</v>
      </c>
      <c r="C15" s="9" t="n">
        <v>0.8</v>
      </c>
      <c r="D15" s="7" t="s">
        <v>17</v>
      </c>
      <c r="E15" s="7" t="s">
        <v>18</v>
      </c>
    </row>
    <row r="16" customFormat="false" ht="33.75" hidden="false" customHeight="true" outlineLevel="0" collapsed="false">
      <c r="B16" s="7" t="s">
        <v>20</v>
      </c>
      <c r="C16" s="9" t="n">
        <v>1.1</v>
      </c>
      <c r="D16" s="7" t="s">
        <v>17</v>
      </c>
      <c r="E16" s="7" t="s">
        <v>18</v>
      </c>
    </row>
    <row r="17" customFormat="false" ht="33.75" hidden="false" customHeight="true" outlineLevel="0" collapsed="false">
      <c r="B17" s="7" t="s">
        <v>21</v>
      </c>
      <c r="C17" s="10" t="n">
        <v>150000</v>
      </c>
      <c r="D17" s="7" t="s">
        <v>22</v>
      </c>
      <c r="E17" s="7" t="s">
        <v>23</v>
      </c>
    </row>
    <row r="18" customFormat="false" ht="33.75" hidden="false" customHeight="true" outlineLevel="0" collapsed="false">
      <c r="B18" s="7" t="s">
        <v>24</v>
      </c>
      <c r="C18" s="10" t="n">
        <v>60000</v>
      </c>
      <c r="D18" s="7" t="s">
        <v>22</v>
      </c>
      <c r="E18" s="7" t="s">
        <v>25</v>
      </c>
    </row>
    <row r="19" customFormat="false" ht="33.75" hidden="false" customHeight="true" outlineLevel="0" collapsed="false">
      <c r="B19" s="7" t="s">
        <v>26</v>
      </c>
      <c r="C19" s="10" t="n">
        <v>10000</v>
      </c>
      <c r="D19" s="7" t="s">
        <v>22</v>
      </c>
      <c r="E19" s="7" t="s">
        <v>23</v>
      </c>
    </row>
    <row r="20" customFormat="false" ht="33.75" hidden="false" customHeight="true" outlineLevel="0" collapsed="false">
      <c r="B20" s="7" t="s">
        <v>27</v>
      </c>
      <c r="C20" s="10" t="n">
        <v>5000</v>
      </c>
      <c r="D20" s="7" t="s">
        <v>22</v>
      </c>
      <c r="E20" s="7" t="s">
        <v>23</v>
      </c>
    </row>
    <row r="21" customFormat="false" ht="48" hidden="false" customHeight="true" outlineLevel="0" collapsed="false">
      <c r="B21" s="7" t="s">
        <v>28</v>
      </c>
      <c r="C21" s="11" t="n">
        <v>-0.05</v>
      </c>
      <c r="D21" s="7" t="s">
        <v>29</v>
      </c>
      <c r="E21" s="7" t="s">
        <v>30</v>
      </c>
    </row>
    <row r="23" customFormat="false" ht="14.25" hidden="false" customHeight="true" outlineLevel="0" collapsed="false">
      <c r="B23" s="5" t="s">
        <v>31</v>
      </c>
      <c r="C23" s="5"/>
      <c r="D23" s="5"/>
      <c r="E23" s="5"/>
    </row>
    <row r="24" customFormat="false" ht="14.25" hidden="false" customHeight="true" outlineLevel="0" collapsed="false">
      <c r="B24" s="6" t="s">
        <v>13</v>
      </c>
      <c r="C24" s="6" t="s">
        <v>32</v>
      </c>
      <c r="D24" s="6" t="s">
        <v>15</v>
      </c>
      <c r="E24" s="6" t="s">
        <v>7</v>
      </c>
    </row>
    <row r="25" customFormat="false" ht="37.5" hidden="false" customHeight="true" outlineLevel="0" collapsed="false">
      <c r="B25" s="7" t="s">
        <v>33</v>
      </c>
      <c r="C25" s="7" t="s">
        <v>34</v>
      </c>
      <c r="D25" s="7" t="s">
        <v>29</v>
      </c>
      <c r="E25" s="7" t="s">
        <v>35</v>
      </c>
    </row>
    <row r="26" customFormat="false" ht="37.5" hidden="false" customHeight="true" outlineLevel="0" collapsed="false">
      <c r="B26" s="7" t="s">
        <v>36</v>
      </c>
      <c r="C26" s="12" t="n">
        <v>-0.01</v>
      </c>
      <c r="D26" s="7" t="s">
        <v>29</v>
      </c>
      <c r="E26" s="7" t="s">
        <v>37</v>
      </c>
    </row>
    <row r="27" customFormat="false" ht="37.5" hidden="false" customHeight="true" outlineLevel="0" collapsed="false">
      <c r="B27" s="7" t="s">
        <v>38</v>
      </c>
      <c r="C27" s="12" t="n">
        <v>0.6</v>
      </c>
      <c r="D27" s="7" t="s">
        <v>39</v>
      </c>
      <c r="E27" s="7" t="s">
        <v>40</v>
      </c>
    </row>
    <row r="29" customFormat="false" ht="14.25" hidden="false" customHeight="true" outlineLevel="0" collapsed="false">
      <c r="B29" s="5" t="s">
        <v>41</v>
      </c>
      <c r="C29" s="5"/>
      <c r="D29" s="5"/>
      <c r="E29" s="5"/>
    </row>
    <row r="30" customFormat="false" ht="14.25" hidden="false" customHeight="true" outlineLevel="0" collapsed="false">
      <c r="B30" s="6" t="s">
        <v>13</v>
      </c>
      <c r="C30" s="6" t="s">
        <v>32</v>
      </c>
      <c r="D30" s="6" t="s">
        <v>15</v>
      </c>
      <c r="E30" s="6" t="s">
        <v>7</v>
      </c>
    </row>
    <row r="31" customFormat="false" ht="30" hidden="false" customHeight="true" outlineLevel="0" collapsed="false">
      <c r="B31" s="7" t="s">
        <v>42</v>
      </c>
      <c r="C31" s="12" t="n">
        <v>0.21</v>
      </c>
      <c r="D31" s="7" t="s">
        <v>39</v>
      </c>
      <c r="E31" s="7" t="s">
        <v>43</v>
      </c>
    </row>
    <row r="32" customFormat="false" ht="30" hidden="false" customHeight="true" outlineLevel="0" collapsed="false">
      <c r="B32" s="7" t="s">
        <v>44</v>
      </c>
      <c r="C32" s="12" t="n">
        <v>0.04</v>
      </c>
      <c r="D32" s="7" t="s">
        <v>39</v>
      </c>
      <c r="E32" s="7" t="s">
        <v>45</v>
      </c>
    </row>
    <row r="33" customFormat="false" ht="30" hidden="false" customHeight="true" outlineLevel="0" collapsed="false">
      <c r="B33" s="7" t="s">
        <v>46</v>
      </c>
      <c r="C33" s="12" t="n">
        <v>0.01</v>
      </c>
      <c r="D33" s="7" t="s">
        <v>39</v>
      </c>
      <c r="E33" s="7" t="s">
        <v>47</v>
      </c>
    </row>
  </sheetData>
  <mergeCells count="7">
    <mergeCell ref="B1:E1"/>
    <mergeCell ref="B3:E3"/>
    <mergeCell ref="B4:E4"/>
    <mergeCell ref="B6:E6"/>
    <mergeCell ref="B12:E12"/>
    <mergeCell ref="B23:E23"/>
    <mergeCell ref="B29:E29"/>
  </mergeCells>
  <printOptions headings="false" gridLines="false" gridLinesSet="true" horizontalCentered="tru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Excel in Business | Forecast Assumptions</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3" topLeftCell="D34" activePane="bottomRight" state="frozen"/>
      <selection pane="topLeft" activeCell="A1" activeCellId="0" sqref="A1"/>
      <selection pane="topRight" activeCell="D1" activeCellId="0" sqref="D1"/>
      <selection pane="bottomLeft" activeCell="A34" activeCellId="0" sqref="A34"/>
      <selection pane="bottomRight" activeCell="B2" activeCellId="0" sqref="B2"/>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8" min="3" style="1" width="15"/>
    <col collapsed="false" customWidth="true" hidden="false" outlineLevel="0" max="9" min="9" style="1" width="3"/>
  </cols>
  <sheetData>
    <row r="1" customFormat="false" ht="30" hidden="false" customHeight="true" outlineLevel="0" collapsed="false">
      <c r="B1" s="13" t="s">
        <v>48</v>
      </c>
      <c r="C1" s="13"/>
      <c r="D1" s="13"/>
      <c r="E1" s="13"/>
      <c r="F1" s="13"/>
      <c r="G1" s="13"/>
      <c r="H1" s="13"/>
    </row>
    <row r="2" customFormat="false" ht="30" hidden="false" customHeight="true" outlineLevel="0" collapsed="false">
      <c r="B2" s="14" t="s">
        <v>49</v>
      </c>
      <c r="C2" s="14"/>
      <c r="D2" s="14"/>
      <c r="E2" s="14"/>
      <c r="F2" s="14"/>
      <c r="G2" s="14"/>
      <c r="H2" s="14"/>
    </row>
    <row r="4" customFormat="false" ht="24" hidden="false" customHeight="true" outlineLevel="0" collapsed="false">
      <c r="B4" s="15" t="s">
        <v>13</v>
      </c>
      <c r="C4" s="15" t="s">
        <v>15</v>
      </c>
      <c r="D4" s="15" t="s">
        <v>50</v>
      </c>
      <c r="E4" s="15" t="s">
        <v>51</v>
      </c>
      <c r="F4" s="15" t="s">
        <v>52</v>
      </c>
      <c r="G4" s="15" t="s">
        <v>53</v>
      </c>
      <c r="H4" s="15" t="s">
        <v>54</v>
      </c>
    </row>
    <row r="6" customFormat="false" ht="14.25" hidden="false" customHeight="true" outlineLevel="0" collapsed="false">
      <c r="B6" s="5" t="s">
        <v>3</v>
      </c>
      <c r="C6" s="5"/>
      <c r="D6" s="5"/>
      <c r="E6" s="5"/>
      <c r="F6" s="5"/>
      <c r="G6" s="5"/>
      <c r="H6" s="5"/>
    </row>
    <row r="7" customFormat="false" ht="21" hidden="false" customHeight="true" outlineLevel="0" collapsed="false">
      <c r="B7" s="16" t="s">
        <v>8</v>
      </c>
      <c r="C7" s="16"/>
      <c r="D7" s="16"/>
      <c r="E7" s="16"/>
      <c r="F7" s="16"/>
      <c r="G7" s="16"/>
      <c r="H7" s="16"/>
    </row>
    <row r="8" customFormat="false" ht="21" hidden="false" customHeight="true" outlineLevel="0" collapsed="false">
      <c r="B8" s="17" t="s">
        <v>55</v>
      </c>
      <c r="C8" s="18" t="s">
        <v>56</v>
      </c>
      <c r="D8" s="19" t="n">
        <v>100000</v>
      </c>
      <c r="E8" s="20" t="n">
        <f aca="false">D8*(1+10%)</f>
        <v>110000</v>
      </c>
      <c r="F8" s="20" t="n">
        <f aca="false">E8*(1+9%)</f>
        <v>119900</v>
      </c>
      <c r="G8" s="20" t="n">
        <f aca="false">F8*(1+8%)</f>
        <v>129492</v>
      </c>
      <c r="H8" s="20" t="n">
        <f aca="false">G8*(1+7%)</f>
        <v>138556.44</v>
      </c>
    </row>
    <row r="9" customFormat="false" ht="21" hidden="false" customHeight="true" outlineLevel="0" collapsed="false">
      <c r="B9" s="17" t="s">
        <v>57</v>
      </c>
      <c r="C9" s="18" t="s">
        <v>22</v>
      </c>
      <c r="D9" s="21" t="n">
        <v>4</v>
      </c>
      <c r="E9" s="22" t="n">
        <f aca="false">D9*(1+4%)</f>
        <v>4.16</v>
      </c>
      <c r="F9" s="22" t="n">
        <f aca="false">E9*(1+4%)</f>
        <v>4.3264</v>
      </c>
      <c r="G9" s="22" t="n">
        <f aca="false">F9*(1+4%)</f>
        <v>4.499456</v>
      </c>
      <c r="H9" s="22" t="n">
        <f aca="false">G9*(1+4%)</f>
        <v>4.67943424</v>
      </c>
    </row>
    <row r="10" customFormat="false" ht="21" hidden="false" customHeight="true" outlineLevel="0" collapsed="false">
      <c r="B10" s="16" t="s">
        <v>10</v>
      </c>
      <c r="C10" s="16"/>
      <c r="D10" s="16"/>
      <c r="E10" s="16"/>
      <c r="F10" s="16"/>
      <c r="G10" s="16"/>
      <c r="H10" s="16"/>
    </row>
    <row r="11" customFormat="false" ht="21" hidden="false" customHeight="true" outlineLevel="0" collapsed="false">
      <c r="B11" s="17" t="s">
        <v>55</v>
      </c>
      <c r="C11" s="18" t="s">
        <v>56</v>
      </c>
      <c r="D11" s="19" t="n">
        <v>60000</v>
      </c>
      <c r="E11" s="20" t="n">
        <f aca="false">D11*(1+10%)</f>
        <v>66000</v>
      </c>
      <c r="F11" s="20" t="n">
        <f aca="false">E11*(1+9%)</f>
        <v>71940</v>
      </c>
      <c r="G11" s="20" t="n">
        <f aca="false">F11*(1+8%)</f>
        <v>77695.2</v>
      </c>
      <c r="H11" s="20" t="n">
        <f aca="false">G11*(1+7%)</f>
        <v>83133.864</v>
      </c>
    </row>
    <row r="12" customFormat="false" ht="21" hidden="false" customHeight="true" outlineLevel="0" collapsed="false">
      <c r="B12" s="17" t="s">
        <v>57</v>
      </c>
      <c r="C12" s="18" t="s">
        <v>22</v>
      </c>
      <c r="D12" s="21" t="n">
        <v>3</v>
      </c>
      <c r="E12" s="22" t="n">
        <f aca="false">D12*(1+4%)</f>
        <v>3.12</v>
      </c>
      <c r="F12" s="22" t="n">
        <f aca="false">E12*(1+4%)</f>
        <v>3.2448</v>
      </c>
      <c r="G12" s="22" t="n">
        <f aca="false">F12*(1+4%)</f>
        <v>3.374592</v>
      </c>
      <c r="H12" s="22" t="n">
        <f aca="false">G12*(1+4%)</f>
        <v>3.50957568</v>
      </c>
    </row>
    <row r="13" customFormat="false" ht="21" hidden="false" customHeight="true" outlineLevel="0" collapsed="false">
      <c r="B13" s="16" t="s">
        <v>11</v>
      </c>
      <c r="C13" s="16"/>
      <c r="D13" s="16"/>
      <c r="E13" s="16"/>
      <c r="F13" s="16"/>
      <c r="G13" s="16"/>
      <c r="H13" s="16"/>
    </row>
    <row r="14" customFormat="false" ht="21" hidden="false" customHeight="true" outlineLevel="0" collapsed="false">
      <c r="B14" s="17" t="s">
        <v>55</v>
      </c>
      <c r="C14" s="18" t="s">
        <v>56</v>
      </c>
      <c r="D14" s="19" t="n">
        <v>50000</v>
      </c>
      <c r="E14" s="20" t="n">
        <f aca="false">D14*(1+10%)</f>
        <v>55000</v>
      </c>
      <c r="F14" s="20" t="n">
        <f aca="false">E14*(1+9%)</f>
        <v>59950</v>
      </c>
      <c r="G14" s="20" t="n">
        <f aca="false">F14*(1+8%)</f>
        <v>64746</v>
      </c>
      <c r="H14" s="20" t="n">
        <f aca="false">G14*(1+7%)</f>
        <v>69278.22</v>
      </c>
    </row>
    <row r="15" customFormat="false" ht="21" hidden="false" customHeight="true" outlineLevel="0" collapsed="false">
      <c r="B15" s="17" t="s">
        <v>57</v>
      </c>
      <c r="C15" s="18" t="s">
        <v>22</v>
      </c>
      <c r="D15" s="21" t="n">
        <v>2.5</v>
      </c>
      <c r="E15" s="22" t="n">
        <f aca="false">D15*(1+4%)</f>
        <v>2.6</v>
      </c>
      <c r="F15" s="22" t="n">
        <f aca="false">E15*(1+4%)</f>
        <v>2.704</v>
      </c>
      <c r="G15" s="22" t="n">
        <f aca="false">F15*(1+4%)</f>
        <v>2.81216</v>
      </c>
      <c r="H15" s="22" t="n">
        <f aca="false">G15*(1+4%)</f>
        <v>2.9246464</v>
      </c>
    </row>
    <row r="17" customFormat="false" ht="14.25" hidden="false" customHeight="true" outlineLevel="0" collapsed="false">
      <c r="B17" s="5" t="s">
        <v>12</v>
      </c>
      <c r="C17" s="5"/>
      <c r="D17" s="5"/>
      <c r="E17" s="5"/>
      <c r="F17" s="5"/>
      <c r="G17" s="5"/>
      <c r="H17" s="5"/>
    </row>
    <row r="18" customFormat="false" ht="21" hidden="false" customHeight="true" outlineLevel="0" collapsed="false">
      <c r="B18" s="16" t="s">
        <v>58</v>
      </c>
      <c r="C18" s="16"/>
      <c r="D18" s="16"/>
      <c r="E18" s="16"/>
      <c r="F18" s="16"/>
      <c r="G18" s="16"/>
      <c r="H18" s="16"/>
    </row>
    <row r="19" customFormat="false" ht="21" hidden="false" customHeight="true" outlineLevel="0" collapsed="false">
      <c r="B19" s="17" t="s">
        <v>16</v>
      </c>
      <c r="C19" s="18" t="s">
        <v>17</v>
      </c>
      <c r="D19" s="23" t="n">
        <v>1.5</v>
      </c>
      <c r="E19" s="24" t="n">
        <f aca="false">D19*(1+0.02)</f>
        <v>1.53</v>
      </c>
      <c r="F19" s="24" t="n">
        <f aca="false">E19*(1+0.02)</f>
        <v>1.5606</v>
      </c>
      <c r="G19" s="24" t="n">
        <f aca="false">F19*(1+0.02)</f>
        <v>1.591812</v>
      </c>
      <c r="H19" s="24" t="n">
        <f aca="false">G19*(1+0.02)</f>
        <v>1.62364824</v>
      </c>
    </row>
    <row r="20" customFormat="false" ht="21" hidden="false" customHeight="true" outlineLevel="0" collapsed="false">
      <c r="B20" s="17" t="s">
        <v>19</v>
      </c>
      <c r="C20" s="18" t="s">
        <v>17</v>
      </c>
      <c r="D20" s="23" t="n">
        <v>0.8</v>
      </c>
      <c r="E20" s="24" t="n">
        <f aca="false">D20*(1+0.02)</f>
        <v>0.816</v>
      </c>
      <c r="F20" s="24" t="n">
        <f aca="false">E20*(1+0.02)</f>
        <v>0.83232</v>
      </c>
      <c r="G20" s="24" t="n">
        <f aca="false">F20*(1+0.02)</f>
        <v>0.8489664</v>
      </c>
      <c r="H20" s="24" t="n">
        <f aca="false">G20*(1+0.02)</f>
        <v>0.865945728</v>
      </c>
    </row>
    <row r="21" customFormat="false" ht="21" hidden="false" customHeight="true" outlineLevel="0" collapsed="false">
      <c r="B21" s="17" t="s">
        <v>20</v>
      </c>
      <c r="C21" s="18" t="s">
        <v>17</v>
      </c>
      <c r="D21" s="23" t="n">
        <v>1.1</v>
      </c>
      <c r="E21" s="24" t="n">
        <f aca="false">D21*(1+0.02)</f>
        <v>1.122</v>
      </c>
      <c r="F21" s="24" t="n">
        <f aca="false">E21*(1+0.02)</f>
        <v>1.14444</v>
      </c>
      <c r="G21" s="24" t="n">
        <f aca="false">F21*(1+0.02)</f>
        <v>1.1673288</v>
      </c>
      <c r="H21" s="24" t="n">
        <f aca="false">G21*(1+0.02)</f>
        <v>1.190675376</v>
      </c>
    </row>
    <row r="22" customFormat="false" ht="21" hidden="false" customHeight="true" outlineLevel="0" collapsed="false">
      <c r="B22" s="16" t="s">
        <v>59</v>
      </c>
      <c r="C22" s="16"/>
      <c r="D22" s="16"/>
      <c r="E22" s="16"/>
      <c r="F22" s="16"/>
      <c r="G22" s="16"/>
      <c r="H22" s="16"/>
    </row>
    <row r="23" customFormat="false" ht="21" hidden="false" customHeight="true" outlineLevel="0" collapsed="false">
      <c r="B23" s="17" t="s">
        <v>21</v>
      </c>
      <c r="C23" s="18" t="s">
        <v>22</v>
      </c>
      <c r="D23" s="21" t="n">
        <v>150000</v>
      </c>
      <c r="E23" s="22" t="n">
        <f aca="false">D23*(1+0.05)</f>
        <v>157500</v>
      </c>
      <c r="F23" s="22" t="n">
        <f aca="false">E23*(1+0.05)</f>
        <v>165375</v>
      </c>
      <c r="G23" s="22" t="n">
        <f aca="false">F23*(1+0.05)</f>
        <v>173643.75</v>
      </c>
      <c r="H23" s="22" t="n">
        <f aca="false">G23*(1+0.05)</f>
        <v>182325.9375</v>
      </c>
    </row>
    <row r="24" customFormat="false" ht="21" hidden="false" customHeight="true" outlineLevel="0" collapsed="false">
      <c r="B24" s="17" t="s">
        <v>24</v>
      </c>
      <c r="C24" s="18" t="s">
        <v>22</v>
      </c>
      <c r="D24" s="21" t="n">
        <v>60000</v>
      </c>
      <c r="E24" s="22" t="n">
        <f aca="false">D24*(1+0.03)</f>
        <v>61800</v>
      </c>
      <c r="F24" s="22" t="n">
        <f aca="false">E24*(1+0.03)</f>
        <v>63654</v>
      </c>
      <c r="G24" s="22" t="n">
        <f aca="false">F24*(1+0.03)</f>
        <v>65563.62</v>
      </c>
      <c r="H24" s="22" t="n">
        <f aca="false">G24*(1+0.03)</f>
        <v>67530.5286</v>
      </c>
    </row>
    <row r="25" customFormat="false" ht="21" hidden="false" customHeight="true" outlineLevel="0" collapsed="false">
      <c r="B25" s="17" t="s">
        <v>26</v>
      </c>
      <c r="C25" s="18" t="s">
        <v>22</v>
      </c>
      <c r="D25" s="21" t="n">
        <v>10000</v>
      </c>
      <c r="E25" s="22" t="n">
        <f aca="false">D25*(1+0.05)</f>
        <v>10500</v>
      </c>
      <c r="F25" s="22" t="n">
        <f aca="false">E25*(1+0.05)</f>
        <v>11025</v>
      </c>
      <c r="G25" s="22" t="n">
        <f aca="false">F25*(1+0.05)</f>
        <v>11576.25</v>
      </c>
      <c r="H25" s="22" t="n">
        <f aca="false">G25*(1+0.05)</f>
        <v>12155.0625</v>
      </c>
    </row>
    <row r="26" customFormat="false" ht="21" hidden="false" customHeight="true" outlineLevel="0" collapsed="false">
      <c r="B26" s="17" t="s">
        <v>27</v>
      </c>
      <c r="C26" s="18" t="s">
        <v>22</v>
      </c>
      <c r="D26" s="21" t="n">
        <v>5000</v>
      </c>
      <c r="E26" s="22" t="n">
        <f aca="false">D26*(1+0.05)</f>
        <v>5250</v>
      </c>
      <c r="F26" s="22" t="n">
        <f aca="false">E26*(1+0.05)</f>
        <v>5512.5</v>
      </c>
      <c r="G26" s="22" t="n">
        <f aca="false">F26*(1+0.05)</f>
        <v>5788.125</v>
      </c>
      <c r="H26" s="22" t="n">
        <f aca="false">G26*(1+0.05)</f>
        <v>6077.53125</v>
      </c>
    </row>
    <row r="27" customFormat="false" ht="21" hidden="false" customHeight="true" outlineLevel="0" collapsed="false">
      <c r="B27" s="16" t="s">
        <v>60</v>
      </c>
      <c r="C27" s="16"/>
      <c r="D27" s="16"/>
      <c r="E27" s="16"/>
      <c r="F27" s="16"/>
      <c r="G27" s="16"/>
      <c r="H27" s="16"/>
    </row>
    <row r="28" customFormat="false" ht="21" hidden="false" customHeight="true" outlineLevel="0" collapsed="false">
      <c r="B28" s="17" t="s">
        <v>28</v>
      </c>
      <c r="C28" s="18" t="s">
        <v>29</v>
      </c>
      <c r="D28" s="25" t="n">
        <v>-0.05</v>
      </c>
      <c r="E28" s="26" t="n">
        <f aca="false">D28+0.0025</f>
        <v>-0.0475</v>
      </c>
      <c r="F28" s="26" t="n">
        <f aca="false">E28+0.0025</f>
        <v>-0.045</v>
      </c>
      <c r="G28" s="26" t="n">
        <f aca="false">F28+0.0025</f>
        <v>-0.0425</v>
      </c>
      <c r="H28" s="26" t="n">
        <f aca="false">G28+0.0025</f>
        <v>-0.04</v>
      </c>
    </row>
    <row r="30" customFormat="false" ht="14.25" hidden="false" customHeight="true" outlineLevel="0" collapsed="false">
      <c r="B30" s="5" t="s">
        <v>31</v>
      </c>
      <c r="C30" s="5"/>
      <c r="D30" s="5"/>
      <c r="E30" s="5"/>
      <c r="F30" s="5"/>
      <c r="G30" s="5"/>
      <c r="H30" s="5"/>
    </row>
    <row r="31" customFormat="false" ht="21" hidden="false" customHeight="true" outlineLevel="0" collapsed="false">
      <c r="B31" s="17" t="s">
        <v>33</v>
      </c>
      <c r="C31" s="18" t="s">
        <v>29</v>
      </c>
      <c r="D31" s="26" t="n">
        <f aca="false">D28</f>
        <v>-0.05</v>
      </c>
      <c r="E31" s="26" t="n">
        <f aca="false">E28</f>
        <v>-0.0475</v>
      </c>
      <c r="F31" s="26" t="n">
        <f aca="false">F28</f>
        <v>-0.045</v>
      </c>
      <c r="G31" s="26" t="n">
        <f aca="false">G28</f>
        <v>-0.0425</v>
      </c>
      <c r="H31" s="26" t="n">
        <f aca="false">H28</f>
        <v>-0.04</v>
      </c>
    </row>
    <row r="32" customFormat="false" ht="21" hidden="false" customHeight="true" outlineLevel="0" collapsed="false">
      <c r="B32" s="17" t="s">
        <v>36</v>
      </c>
      <c r="C32" s="18" t="s">
        <v>29</v>
      </c>
      <c r="D32" s="25" t="n">
        <v>-0.01</v>
      </c>
      <c r="E32" s="25" t="n">
        <v>-0.01</v>
      </c>
      <c r="F32" s="25" t="n">
        <v>-0.01</v>
      </c>
      <c r="G32" s="25" t="n">
        <v>-0.01</v>
      </c>
      <c r="H32" s="25" t="n">
        <v>-0.01</v>
      </c>
    </row>
    <row r="33" customFormat="false" ht="21" hidden="false" customHeight="true" outlineLevel="0" collapsed="false">
      <c r="B33" s="17" t="s">
        <v>38</v>
      </c>
      <c r="C33" s="18" t="s">
        <v>39</v>
      </c>
      <c r="D33" s="25" t="n">
        <v>0.6</v>
      </c>
      <c r="E33" s="25" t="n">
        <v>0.6</v>
      </c>
      <c r="F33" s="25" t="n">
        <v>0.6</v>
      </c>
      <c r="G33" s="25" t="n">
        <v>0.6</v>
      </c>
      <c r="H33" s="25" t="n">
        <v>0.6</v>
      </c>
    </row>
    <row r="35" customFormat="false" ht="14.25" hidden="false" customHeight="true" outlineLevel="0" collapsed="false">
      <c r="B35" s="5" t="s">
        <v>41</v>
      </c>
      <c r="C35" s="5"/>
      <c r="D35" s="5"/>
      <c r="E35" s="5"/>
      <c r="F35" s="5"/>
      <c r="G35" s="5"/>
      <c r="H35" s="5"/>
    </row>
    <row r="36" customFormat="false" ht="21" hidden="false" customHeight="true" outlineLevel="0" collapsed="false">
      <c r="B36" s="17" t="s">
        <v>42</v>
      </c>
      <c r="C36" s="18" t="s">
        <v>39</v>
      </c>
      <c r="D36" s="25" t="n">
        <v>0.21</v>
      </c>
      <c r="E36" s="25" t="n">
        <v>0.21</v>
      </c>
      <c r="F36" s="25" t="n">
        <v>0.21</v>
      </c>
      <c r="G36" s="25" t="n">
        <v>0.21</v>
      </c>
      <c r="H36" s="25" t="n">
        <v>0.21</v>
      </c>
    </row>
    <row r="37" customFormat="false" ht="21" hidden="false" customHeight="true" outlineLevel="0" collapsed="false">
      <c r="B37" s="17" t="s">
        <v>44</v>
      </c>
      <c r="C37" s="18" t="s">
        <v>39</v>
      </c>
      <c r="D37" s="25" t="n">
        <v>0.04</v>
      </c>
      <c r="E37" s="25" t="n">
        <v>0.04</v>
      </c>
      <c r="F37" s="25" t="n">
        <v>0.04</v>
      </c>
      <c r="G37" s="25" t="n">
        <v>0.04</v>
      </c>
      <c r="H37" s="25" t="n">
        <v>0.04</v>
      </c>
    </row>
    <row r="38" customFormat="false" ht="21" hidden="false" customHeight="true" outlineLevel="0" collapsed="false">
      <c r="B38" s="17" t="s">
        <v>46</v>
      </c>
      <c r="C38" s="18" t="s">
        <v>39</v>
      </c>
      <c r="D38" s="25" t="n">
        <v>0.01</v>
      </c>
      <c r="E38" s="25" t="n">
        <v>0.01</v>
      </c>
      <c r="F38" s="25" t="n">
        <v>0.01</v>
      </c>
      <c r="G38" s="25" t="n">
        <v>0.01</v>
      </c>
      <c r="H38" s="25" t="n">
        <v>0.01</v>
      </c>
    </row>
    <row r="40" customFormat="false" ht="14.25" hidden="false" customHeight="true" outlineLevel="0" collapsed="false">
      <c r="B40" s="14" t="s">
        <v>61</v>
      </c>
      <c r="C40" s="14"/>
      <c r="D40" s="14"/>
      <c r="E40" s="14"/>
      <c r="F40" s="14"/>
      <c r="G40" s="14"/>
      <c r="H40" s="14"/>
    </row>
  </sheetData>
  <mergeCells count="13">
    <mergeCell ref="B1:H1"/>
    <mergeCell ref="B2:H2"/>
    <mergeCell ref="B6:H6"/>
    <mergeCell ref="B7:H7"/>
    <mergeCell ref="B10:H10"/>
    <mergeCell ref="B13:H13"/>
    <mergeCell ref="B17:H17"/>
    <mergeCell ref="B18:H18"/>
    <mergeCell ref="B22:H22"/>
    <mergeCell ref="B27:H27"/>
    <mergeCell ref="B30:H30"/>
    <mergeCell ref="B35:H35"/>
    <mergeCell ref="B40:H40"/>
  </mergeCells>
  <printOptions headings="false" gridLines="false" gridLinesSet="true" horizontalCentered="tru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Excel in Business | Forecast Assumptions</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B1:H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4.25" zeroHeight="false" outlineLevelRow="0" outlineLevelCol="0"/>
  <cols>
    <col collapsed="false" customWidth="true" hidden="false" outlineLevel="0" max="1" min="1" style="1" width="2.44"/>
    <col collapsed="false" customWidth="true" hidden="false" outlineLevel="0" max="2" min="2" style="1" width="34"/>
    <col collapsed="false" customWidth="true" hidden="false" outlineLevel="0" max="3" min="3" style="1" width="14"/>
    <col collapsed="false" customWidth="true" hidden="false" outlineLevel="0" max="8" min="4" style="1" width="15"/>
  </cols>
  <sheetData>
    <row r="1" customFormat="false" ht="27.75" hidden="false" customHeight="true" outlineLevel="0" collapsed="false">
      <c r="B1" s="2" t="s">
        <v>62</v>
      </c>
      <c r="C1" s="2"/>
      <c r="D1" s="2"/>
      <c r="E1" s="2"/>
      <c r="F1" s="2"/>
      <c r="G1" s="2"/>
      <c r="H1" s="2"/>
    </row>
    <row r="2" customFormat="false" ht="30" hidden="false" customHeight="true" outlineLevel="0" collapsed="false">
      <c r="B2" s="27" t="s">
        <v>63</v>
      </c>
      <c r="C2" s="27"/>
      <c r="D2" s="27"/>
      <c r="E2" s="27"/>
      <c r="F2" s="27"/>
      <c r="G2" s="27"/>
      <c r="H2" s="27"/>
    </row>
    <row r="4" customFormat="false" ht="21.75" hidden="false" customHeight="true" outlineLevel="0" collapsed="false">
      <c r="B4" s="28" t="s">
        <v>64</v>
      </c>
      <c r="C4" s="15" t="s">
        <v>15</v>
      </c>
      <c r="D4" s="15" t="s">
        <v>50</v>
      </c>
      <c r="E4" s="15" t="s">
        <v>51</v>
      </c>
      <c r="F4" s="15" t="s">
        <v>52</v>
      </c>
      <c r="G4" s="15" t="s">
        <v>53</v>
      </c>
      <c r="H4" s="15" t="s">
        <v>54</v>
      </c>
    </row>
    <row r="5" customFormat="false" ht="19.5" hidden="false" customHeight="true" outlineLevel="0" collapsed="false">
      <c r="C5" s="29"/>
    </row>
    <row r="6" customFormat="false" ht="21" hidden="false" customHeight="true" outlineLevel="0" collapsed="false">
      <c r="B6" s="30" t="s">
        <v>3</v>
      </c>
      <c r="C6" s="30"/>
      <c r="D6" s="30"/>
      <c r="E6" s="30"/>
      <c r="F6" s="30"/>
      <c r="G6" s="30"/>
      <c r="H6" s="30"/>
    </row>
    <row r="7" customFormat="false" ht="19.5" hidden="false" customHeight="true" outlineLevel="0" collapsed="false">
      <c r="B7" s="31" t="s">
        <v>65</v>
      </c>
      <c r="C7" s="32" t="s">
        <v>22</v>
      </c>
      <c r="D7" s="33" t="n">
        <f aca="false">'Forecast Assumptions'!D8*'Forecast Assumptions'!D9</f>
        <v>400000</v>
      </c>
      <c r="E7" s="33" t="n">
        <f aca="false">'Forecast Assumptions'!E8*'Forecast Assumptions'!E9</f>
        <v>457600</v>
      </c>
      <c r="F7" s="33" t="n">
        <f aca="false">'Forecast Assumptions'!F8*'Forecast Assumptions'!F9</f>
        <v>518735.36</v>
      </c>
      <c r="G7" s="33" t="n">
        <f aca="false">'Forecast Assumptions'!G8*'Forecast Assumptions'!G9</f>
        <v>582643.556352</v>
      </c>
      <c r="H7" s="33" t="n">
        <f aca="false">'Forecast Assumptions'!H8*'Forecast Assumptions'!H9</f>
        <v>648365.749508506</v>
      </c>
    </row>
    <row r="8" customFormat="false" ht="19.5" hidden="false" customHeight="true" outlineLevel="0" collapsed="false">
      <c r="B8" s="31" t="s">
        <v>66</v>
      </c>
      <c r="C8" s="32" t="s">
        <v>22</v>
      </c>
      <c r="D8" s="33" t="n">
        <f aca="false">'Forecast Assumptions'!D11*'Forecast Assumptions'!D12</f>
        <v>180000</v>
      </c>
      <c r="E8" s="33" t="n">
        <f aca="false">'Forecast Assumptions'!E11*'Forecast Assumptions'!E12</f>
        <v>205920</v>
      </c>
      <c r="F8" s="33" t="n">
        <f aca="false">'Forecast Assumptions'!F11*'Forecast Assumptions'!F12</f>
        <v>233430.912</v>
      </c>
      <c r="G8" s="33" t="n">
        <f aca="false">'Forecast Assumptions'!G11*'Forecast Assumptions'!G12</f>
        <v>262189.6003584</v>
      </c>
      <c r="H8" s="33" t="n">
        <f aca="false">'Forecast Assumptions'!H11*'Forecast Assumptions'!H12</f>
        <v>291764.587278828</v>
      </c>
    </row>
    <row r="9" customFormat="false" ht="19.5" hidden="false" customHeight="true" outlineLevel="0" collapsed="false">
      <c r="B9" s="31" t="s">
        <v>67</v>
      </c>
      <c r="C9" s="32" t="s">
        <v>22</v>
      </c>
      <c r="D9" s="33" t="n">
        <f aca="false">'Forecast Assumptions'!D14*'Forecast Assumptions'!D15</f>
        <v>125000</v>
      </c>
      <c r="E9" s="33" t="n">
        <f aca="false">'Forecast Assumptions'!E14*'Forecast Assumptions'!E15</f>
        <v>143000</v>
      </c>
      <c r="F9" s="33" t="n">
        <f aca="false">'Forecast Assumptions'!F14*'Forecast Assumptions'!F15</f>
        <v>162104.8</v>
      </c>
      <c r="G9" s="33" t="n">
        <f aca="false">'Forecast Assumptions'!G14*'Forecast Assumptions'!G15</f>
        <v>182076.11136</v>
      </c>
      <c r="H9" s="33" t="n">
        <f aca="false">'Forecast Assumptions'!H14*'Forecast Assumptions'!H15</f>
        <v>202614.296721408</v>
      </c>
    </row>
    <row r="10" customFormat="false" ht="19.5" hidden="false" customHeight="true" outlineLevel="0" collapsed="false">
      <c r="B10" s="34" t="s">
        <v>68</v>
      </c>
      <c r="C10" s="35" t="s">
        <v>22</v>
      </c>
      <c r="D10" s="36" t="n">
        <f aca="false">SUM(D7:D9)</f>
        <v>705000</v>
      </c>
      <c r="E10" s="36" t="n">
        <f aca="false">SUM(E7:E9)</f>
        <v>806520</v>
      </c>
      <c r="F10" s="36" t="n">
        <f aca="false">SUM(F7:F9)</f>
        <v>914271.072</v>
      </c>
      <c r="G10" s="36" t="n">
        <f aca="false">SUM(G7:G9)</f>
        <v>1026909.2680704</v>
      </c>
      <c r="H10" s="36" t="n">
        <f aca="false">SUM(H7:H9)</f>
        <v>1142744.63350874</v>
      </c>
    </row>
    <row r="11" customFormat="false" ht="19.5" hidden="false" customHeight="true" outlineLevel="0" collapsed="false">
      <c r="B11" s="37" t="s">
        <v>69</v>
      </c>
      <c r="C11" s="32" t="s">
        <v>39</v>
      </c>
      <c r="D11" s="38" t="s">
        <v>70</v>
      </c>
      <c r="E11" s="39" t="n">
        <f aca="false">E10/D10-1</f>
        <v>0.144</v>
      </c>
      <c r="F11" s="39" t="n">
        <f aca="false">F10/E10-1</f>
        <v>0.1336</v>
      </c>
      <c r="G11" s="39" t="n">
        <f aca="false">G10/F10-1</f>
        <v>0.1232</v>
      </c>
      <c r="H11" s="39" t="n">
        <f aca="false">H10/G10-1</f>
        <v>0.1128</v>
      </c>
    </row>
    <row r="12" customFormat="false" ht="19.5" hidden="false" customHeight="true" outlineLevel="0" collapsed="false">
      <c r="C12" s="29"/>
    </row>
    <row r="13" customFormat="false" ht="21" hidden="false" customHeight="true" outlineLevel="0" collapsed="false">
      <c r="B13" s="30" t="s">
        <v>71</v>
      </c>
      <c r="C13" s="30"/>
      <c r="D13" s="30"/>
      <c r="E13" s="30"/>
      <c r="F13" s="30"/>
      <c r="G13" s="30"/>
      <c r="H13" s="30"/>
    </row>
    <row r="14" customFormat="false" ht="19.5" hidden="false" customHeight="true" outlineLevel="0" collapsed="false">
      <c r="B14" s="31" t="s">
        <v>72</v>
      </c>
      <c r="C14" s="32" t="s">
        <v>22</v>
      </c>
      <c r="D14" s="33" t="n">
        <f aca="false">'Forecast Assumptions'!D8*'Forecast Assumptions'!D19</f>
        <v>150000</v>
      </c>
      <c r="E14" s="33" t="n">
        <f aca="false">'Forecast Assumptions'!E8*'Forecast Assumptions'!E19</f>
        <v>168300</v>
      </c>
      <c r="F14" s="33" t="n">
        <f aca="false">'Forecast Assumptions'!F8*'Forecast Assumptions'!F19</f>
        <v>187115.94</v>
      </c>
      <c r="G14" s="33" t="n">
        <f aca="false">'Forecast Assumptions'!G8*'Forecast Assumptions'!G19</f>
        <v>206126.919504</v>
      </c>
      <c r="H14" s="33" t="n">
        <f aca="false">'Forecast Assumptions'!H8*'Forecast Assumptions'!H19</f>
        <v>224966.919946666</v>
      </c>
    </row>
    <row r="15" customFormat="false" ht="19.5" hidden="false" customHeight="true" outlineLevel="0" collapsed="false">
      <c r="B15" s="31" t="s">
        <v>73</v>
      </c>
      <c r="C15" s="32" t="s">
        <v>22</v>
      </c>
      <c r="D15" s="33" t="n">
        <f aca="false">'Forecast Assumptions'!D11*'Forecast Assumptions'!D20</f>
        <v>48000</v>
      </c>
      <c r="E15" s="33" t="n">
        <f aca="false">'Forecast Assumptions'!E11*'Forecast Assumptions'!E20</f>
        <v>53856</v>
      </c>
      <c r="F15" s="33" t="n">
        <f aca="false">'Forecast Assumptions'!F11*'Forecast Assumptions'!F20</f>
        <v>59877.1008</v>
      </c>
      <c r="G15" s="33" t="n">
        <f aca="false">'Forecast Assumptions'!G11*'Forecast Assumptions'!G20</f>
        <v>65960.61424128</v>
      </c>
      <c r="H15" s="33" t="n">
        <f aca="false">'Forecast Assumptions'!H11*'Forecast Assumptions'!H20</f>
        <v>71989.414382933</v>
      </c>
    </row>
    <row r="16" customFormat="false" ht="19.5" hidden="false" customHeight="true" outlineLevel="0" collapsed="false">
      <c r="B16" s="31" t="s">
        <v>74</v>
      </c>
      <c r="C16" s="32" t="s">
        <v>22</v>
      </c>
      <c r="D16" s="33" t="n">
        <f aca="false">'Forecast Assumptions'!D14*'Forecast Assumptions'!D21</f>
        <v>55000</v>
      </c>
      <c r="E16" s="33" t="n">
        <f aca="false">'Forecast Assumptions'!E14*'Forecast Assumptions'!E21</f>
        <v>61710</v>
      </c>
      <c r="F16" s="33" t="n">
        <f aca="false">'Forecast Assumptions'!F14*'Forecast Assumptions'!F21</f>
        <v>68609.178</v>
      </c>
      <c r="G16" s="33" t="n">
        <f aca="false">'Forecast Assumptions'!G14*'Forecast Assumptions'!G21</f>
        <v>75579.8704848</v>
      </c>
      <c r="H16" s="33" t="n">
        <f aca="false">'Forecast Assumptions'!H14*'Forecast Assumptions'!H21</f>
        <v>82487.8706471108</v>
      </c>
    </row>
    <row r="17" customFormat="false" ht="19.5" hidden="false" customHeight="true" outlineLevel="0" collapsed="false">
      <c r="B17" s="34" t="s">
        <v>75</v>
      </c>
      <c r="C17" s="35" t="s">
        <v>22</v>
      </c>
      <c r="D17" s="36" t="n">
        <f aca="false">SUM(D14:D16)</f>
        <v>253000</v>
      </c>
      <c r="E17" s="36" t="n">
        <f aca="false">SUM(E14:E16)</f>
        <v>283866</v>
      </c>
      <c r="F17" s="36" t="n">
        <f aca="false">SUM(F14:F16)</f>
        <v>315602.2188</v>
      </c>
      <c r="G17" s="36" t="n">
        <f aca="false">SUM(G14:G16)</f>
        <v>347667.40423008</v>
      </c>
      <c r="H17" s="36" t="n">
        <f aca="false">SUM(H14:H16)</f>
        <v>379444.204976709</v>
      </c>
    </row>
    <row r="18" customFormat="false" ht="19.5" hidden="false" customHeight="true" outlineLevel="0" collapsed="false">
      <c r="C18" s="29"/>
    </row>
    <row r="19" customFormat="false" ht="19.5" hidden="false" customHeight="true" outlineLevel="0" collapsed="false">
      <c r="B19" s="40" t="s">
        <v>76</v>
      </c>
      <c r="C19" s="41" t="s">
        <v>22</v>
      </c>
      <c r="D19" s="36" t="n">
        <f aca="false">D10-D17</f>
        <v>452000</v>
      </c>
      <c r="E19" s="36" t="n">
        <f aca="false">E10-E17</f>
        <v>522654</v>
      </c>
      <c r="F19" s="36" t="n">
        <f aca="false">F10-F17</f>
        <v>598668.8532</v>
      </c>
      <c r="G19" s="36" t="n">
        <f aca="false">G10-G17</f>
        <v>679241.86384032</v>
      </c>
      <c r="H19" s="36" t="n">
        <f aca="false">H10-H17</f>
        <v>763300.428532032</v>
      </c>
    </row>
    <row r="20" customFormat="false" ht="19.5" hidden="false" customHeight="true" outlineLevel="0" collapsed="false">
      <c r="B20" s="37" t="s">
        <v>77</v>
      </c>
      <c r="C20" s="32" t="s">
        <v>39</v>
      </c>
      <c r="D20" s="39" t="n">
        <f aca="false">D19/D10</f>
        <v>0.64113475177305</v>
      </c>
      <c r="E20" s="39" t="n">
        <f aca="false">E19/E10</f>
        <v>0.648036006546645</v>
      </c>
      <c r="F20" s="39" t="n">
        <f aca="false">F19/F10</f>
        <v>0.654804544882286</v>
      </c>
      <c r="G20" s="39" t="n">
        <f aca="false">G19/G10</f>
        <v>0.661442919019165</v>
      </c>
      <c r="H20" s="39" t="n">
        <f aca="false">H19/H10</f>
        <v>0.667953632114951</v>
      </c>
    </row>
    <row r="21" customFormat="false" ht="19.5" hidden="false" customHeight="true" outlineLevel="0" collapsed="false">
      <c r="C21" s="29"/>
    </row>
    <row r="22" customFormat="false" ht="21" hidden="false" customHeight="true" outlineLevel="0" collapsed="false">
      <c r="B22" s="30" t="s">
        <v>78</v>
      </c>
      <c r="C22" s="30"/>
      <c r="D22" s="30"/>
      <c r="E22" s="30"/>
      <c r="F22" s="30"/>
      <c r="G22" s="30"/>
      <c r="H22" s="30"/>
    </row>
    <row r="23" customFormat="false" ht="19.5" hidden="false" customHeight="true" outlineLevel="0" collapsed="false">
      <c r="B23" s="31" t="s">
        <v>21</v>
      </c>
      <c r="C23" s="32" t="s">
        <v>22</v>
      </c>
      <c r="D23" s="33" t="n">
        <f aca="false">'Forecast Assumptions'!D23</f>
        <v>150000</v>
      </c>
      <c r="E23" s="33" t="n">
        <f aca="false">'Forecast Assumptions'!E23</f>
        <v>157500</v>
      </c>
      <c r="F23" s="33" t="n">
        <f aca="false">'Forecast Assumptions'!F23</f>
        <v>165375</v>
      </c>
      <c r="G23" s="33" t="n">
        <f aca="false">'Forecast Assumptions'!G23</f>
        <v>173643.75</v>
      </c>
      <c r="H23" s="33" t="n">
        <f aca="false">'Forecast Assumptions'!H23</f>
        <v>182325.9375</v>
      </c>
    </row>
    <row r="24" customFormat="false" ht="19.5" hidden="false" customHeight="true" outlineLevel="0" collapsed="false">
      <c r="B24" s="31" t="s">
        <v>24</v>
      </c>
      <c r="C24" s="32" t="s">
        <v>22</v>
      </c>
      <c r="D24" s="33" t="n">
        <f aca="false">'Forecast Assumptions'!D24</f>
        <v>60000</v>
      </c>
      <c r="E24" s="33" t="n">
        <f aca="false">'Forecast Assumptions'!E24</f>
        <v>61800</v>
      </c>
      <c r="F24" s="33" t="n">
        <f aca="false">'Forecast Assumptions'!F24</f>
        <v>63654</v>
      </c>
      <c r="G24" s="33" t="n">
        <f aca="false">'Forecast Assumptions'!G24</f>
        <v>65563.62</v>
      </c>
      <c r="H24" s="33" t="n">
        <f aca="false">'Forecast Assumptions'!H24</f>
        <v>67530.5286</v>
      </c>
    </row>
    <row r="25" customFormat="false" ht="19.5" hidden="false" customHeight="true" outlineLevel="0" collapsed="false">
      <c r="B25" s="31" t="s">
        <v>26</v>
      </c>
      <c r="C25" s="32" t="s">
        <v>22</v>
      </c>
      <c r="D25" s="33" t="n">
        <f aca="false">'Forecast Assumptions'!D25</f>
        <v>10000</v>
      </c>
      <c r="E25" s="33" t="n">
        <f aca="false">'Forecast Assumptions'!E25</f>
        <v>10500</v>
      </c>
      <c r="F25" s="33" t="n">
        <f aca="false">'Forecast Assumptions'!F25</f>
        <v>11025</v>
      </c>
      <c r="G25" s="33" t="n">
        <f aca="false">'Forecast Assumptions'!G25</f>
        <v>11576.25</v>
      </c>
      <c r="H25" s="33" t="n">
        <f aca="false">'Forecast Assumptions'!H25</f>
        <v>12155.0625</v>
      </c>
    </row>
    <row r="26" customFormat="false" ht="19.5" hidden="false" customHeight="true" outlineLevel="0" collapsed="false">
      <c r="B26" s="31" t="s">
        <v>27</v>
      </c>
      <c r="C26" s="32" t="s">
        <v>22</v>
      </c>
      <c r="D26" s="33" t="n">
        <f aca="false">'Forecast Assumptions'!D26</f>
        <v>5000</v>
      </c>
      <c r="E26" s="33" t="n">
        <f aca="false">'Forecast Assumptions'!E26</f>
        <v>5250</v>
      </c>
      <c r="F26" s="33" t="n">
        <f aca="false">'Forecast Assumptions'!F26</f>
        <v>5512.5</v>
      </c>
      <c r="G26" s="33" t="n">
        <f aca="false">'Forecast Assumptions'!G26</f>
        <v>5788.125</v>
      </c>
      <c r="H26" s="33" t="n">
        <f aca="false">'Forecast Assumptions'!H26</f>
        <v>6077.53125</v>
      </c>
    </row>
    <row r="27" customFormat="false" ht="19.5" hidden="false" customHeight="true" outlineLevel="0" collapsed="false">
      <c r="B27" s="34" t="s">
        <v>79</v>
      </c>
      <c r="C27" s="35" t="s">
        <v>22</v>
      </c>
      <c r="D27" s="36" t="n">
        <f aca="false">SUM(D23:D26)</f>
        <v>225000</v>
      </c>
      <c r="E27" s="36" t="n">
        <f aca="false">SUM(E23:E26)</f>
        <v>235050</v>
      </c>
      <c r="F27" s="36" t="n">
        <f aca="false">SUM(F23:F26)</f>
        <v>245566.5</v>
      </c>
      <c r="G27" s="36" t="n">
        <f aca="false">SUM(G23:G26)</f>
        <v>256571.745</v>
      </c>
      <c r="H27" s="36" t="n">
        <f aca="false">SUM(H23:H26)</f>
        <v>268089.05985</v>
      </c>
    </row>
    <row r="28" customFormat="false" ht="19.5" hidden="false" customHeight="true" outlineLevel="0" collapsed="false">
      <c r="C28" s="29"/>
    </row>
    <row r="29" customFormat="false" ht="19.5" hidden="false" customHeight="true" outlineLevel="0" collapsed="false">
      <c r="B29" s="40" t="s">
        <v>80</v>
      </c>
      <c r="C29" s="41" t="s">
        <v>22</v>
      </c>
      <c r="D29" s="36" t="n">
        <f aca="false">D19-D27</f>
        <v>227000</v>
      </c>
      <c r="E29" s="36" t="n">
        <f aca="false">E19-E27</f>
        <v>287604</v>
      </c>
      <c r="F29" s="36" t="n">
        <f aca="false">F19-F27</f>
        <v>353102.3532</v>
      </c>
      <c r="G29" s="36" t="n">
        <f aca="false">G19-G27</f>
        <v>422670.11884032</v>
      </c>
      <c r="H29" s="36" t="n">
        <f aca="false">H19-H27</f>
        <v>495211.368682032</v>
      </c>
    </row>
    <row r="30" customFormat="false" ht="19.5" hidden="false" customHeight="true" outlineLevel="0" collapsed="false">
      <c r="B30" s="37" t="s">
        <v>81</v>
      </c>
      <c r="C30" s="32" t="s">
        <v>39</v>
      </c>
      <c r="D30" s="39" t="n">
        <f aca="false">D29/D10</f>
        <v>0.321985815602837</v>
      </c>
      <c r="E30" s="39" t="n">
        <f aca="false">E29/E10</f>
        <v>0.356598720428508</v>
      </c>
      <c r="F30" s="39" t="n">
        <f aca="false">F29/F10</f>
        <v>0.386211883995822</v>
      </c>
      <c r="G30" s="39" t="n">
        <f aca="false">G29/G10</f>
        <v>0.411594414406769</v>
      </c>
      <c r="H30" s="39" t="n">
        <f aca="false">H29/H10</f>
        <v>0.433352609289015</v>
      </c>
    </row>
    <row r="31" customFormat="false" ht="19.5" hidden="false" customHeight="true" outlineLevel="0" collapsed="false">
      <c r="C31" s="29"/>
    </row>
    <row r="32" customFormat="false" ht="21" hidden="false" customHeight="true" outlineLevel="0" collapsed="false">
      <c r="B32" s="30" t="s">
        <v>82</v>
      </c>
      <c r="C32" s="30"/>
      <c r="D32" s="30"/>
      <c r="E32" s="30"/>
      <c r="F32" s="30"/>
      <c r="G32" s="30"/>
      <c r="H32" s="30"/>
    </row>
    <row r="33" customFormat="false" ht="19.5" hidden="false" customHeight="true" outlineLevel="0" collapsed="false">
      <c r="B33" s="31" t="s">
        <v>83</v>
      </c>
      <c r="C33" s="32" t="s">
        <v>22</v>
      </c>
      <c r="D33" s="33" t="n">
        <f aca="false">-D10*'Forecast Assumptions'!D28</f>
        <v>35250</v>
      </c>
      <c r="E33" s="33" t="n">
        <f aca="false">-E10*'Forecast Assumptions'!E28</f>
        <v>38309.7</v>
      </c>
      <c r="F33" s="33" t="n">
        <f aca="false">-F10*'Forecast Assumptions'!F28</f>
        <v>41142.19824</v>
      </c>
      <c r="G33" s="33" t="n">
        <f aca="false">-G10*'Forecast Assumptions'!G28</f>
        <v>43643.643892992</v>
      </c>
      <c r="H33" s="33" t="n">
        <f aca="false">-H10*'Forecast Assumptions'!H28</f>
        <v>45709.7853403497</v>
      </c>
    </row>
    <row r="34" customFormat="false" ht="19.5" hidden="false" customHeight="true" outlineLevel="0" collapsed="false">
      <c r="B34" s="34" t="s">
        <v>84</v>
      </c>
      <c r="C34" s="35" t="s">
        <v>22</v>
      </c>
      <c r="D34" s="36" t="n">
        <f aca="false">D29-D33</f>
        <v>191750</v>
      </c>
      <c r="E34" s="36" t="n">
        <f aca="false">E29-E33</f>
        <v>249294.3</v>
      </c>
      <c r="F34" s="36" t="n">
        <f aca="false">F29-F33</f>
        <v>311960.15496</v>
      </c>
      <c r="G34" s="36" t="n">
        <f aca="false">G29-G33</f>
        <v>379026.474947328</v>
      </c>
      <c r="H34" s="36" t="n">
        <f aca="false">H29-H33</f>
        <v>449501.583341683</v>
      </c>
    </row>
    <row r="35" customFormat="false" ht="19.5" hidden="false" customHeight="true" outlineLevel="0" collapsed="false">
      <c r="C35" s="29"/>
    </row>
    <row r="36" customFormat="false" ht="19.5" hidden="false" customHeight="true" outlineLevel="0" collapsed="false">
      <c r="B36" s="42" t="s">
        <v>85</v>
      </c>
      <c r="C36" s="43" t="s">
        <v>22</v>
      </c>
      <c r="D36" s="33" t="n">
        <f aca="false">'Cash Flow &amp; Debt Forecast'!D40</f>
        <v>15850</v>
      </c>
      <c r="E36" s="33" t="n">
        <f aca="false">'Cash Flow &amp; Debt Forecast'!E40</f>
        <v>13908.624</v>
      </c>
      <c r="F36" s="33" t="n">
        <f aca="false">'Cash Flow &amp; Debt Forecast'!F40</f>
        <v>11255.95705536</v>
      </c>
      <c r="G36" s="33" t="n">
        <f aca="false">'Cash Flow &amp; Debt Forecast'!G40</f>
        <v>7820.76442264535</v>
      </c>
      <c r="H36" s="33" t="n">
        <f aca="false">'Cash Flow &amp; Debt Forecast'!H40</f>
        <v>3539.48794884152</v>
      </c>
    </row>
    <row r="37" customFormat="false" ht="19.5" hidden="false" customHeight="true" outlineLevel="0" collapsed="false">
      <c r="B37" s="34" t="s">
        <v>86</v>
      </c>
      <c r="C37" s="35" t="s">
        <v>22</v>
      </c>
      <c r="D37" s="36" t="n">
        <f aca="false">D34-D36</f>
        <v>175900</v>
      </c>
      <c r="E37" s="36" t="n">
        <f aca="false">E34-E36</f>
        <v>235385.676</v>
      </c>
      <c r="F37" s="36" t="n">
        <f aca="false">F34-F36</f>
        <v>300704.19790464</v>
      </c>
      <c r="G37" s="36" t="n">
        <f aca="false">G34-G36</f>
        <v>371205.710524683</v>
      </c>
      <c r="H37" s="36" t="n">
        <f aca="false">H34-H36</f>
        <v>445962.095392841</v>
      </c>
    </row>
    <row r="38" customFormat="false" ht="19.5" hidden="false" customHeight="true" outlineLevel="0" collapsed="false">
      <c r="B38" s="31" t="s">
        <v>87</v>
      </c>
      <c r="C38" s="32" t="s">
        <v>22</v>
      </c>
      <c r="D38" s="33" t="n">
        <f aca="false">D37*'Forecast Assumptions'!D36</f>
        <v>36939</v>
      </c>
      <c r="E38" s="33" t="n">
        <f aca="false">E37*'Forecast Assumptions'!E36</f>
        <v>49430.99196</v>
      </c>
      <c r="F38" s="33" t="n">
        <f aca="false">F37*'Forecast Assumptions'!F36</f>
        <v>63147.8815599744</v>
      </c>
      <c r="G38" s="33" t="n">
        <f aca="false">G37*'Forecast Assumptions'!G36</f>
        <v>77953.1992101834</v>
      </c>
      <c r="H38" s="33" t="n">
        <f aca="false">H37*'Forecast Assumptions'!H36</f>
        <v>93652.0400324967</v>
      </c>
    </row>
    <row r="39" customFormat="false" ht="19.5" hidden="false" customHeight="true" outlineLevel="0" collapsed="false">
      <c r="B39" s="40" t="s">
        <v>88</v>
      </c>
      <c r="C39" s="41" t="s">
        <v>22</v>
      </c>
      <c r="D39" s="36" t="n">
        <f aca="false">D37-D38</f>
        <v>138961</v>
      </c>
      <c r="E39" s="36" t="n">
        <f aca="false">E37-E38</f>
        <v>185954.68404</v>
      </c>
      <c r="F39" s="36" t="n">
        <f aca="false">F37-F38</f>
        <v>237556.316344666</v>
      </c>
      <c r="G39" s="36" t="n">
        <f aca="false">G37-G38</f>
        <v>293252.511314499</v>
      </c>
      <c r="H39" s="36" t="n">
        <f aca="false">H37-H38</f>
        <v>352310.055360345</v>
      </c>
    </row>
    <row r="40" customFormat="false" ht="19.5" hidden="false" customHeight="true" outlineLevel="0" collapsed="false">
      <c r="C40" s="29"/>
    </row>
    <row r="42" customFormat="false" ht="33.75" hidden="false" customHeight="true" outlineLevel="0" collapsed="false">
      <c r="B42" s="44" t="s">
        <v>89</v>
      </c>
      <c r="C42" s="44"/>
      <c r="D42" s="44"/>
      <c r="E42" s="44"/>
      <c r="F42" s="44"/>
      <c r="G42" s="44"/>
      <c r="H42" s="44"/>
    </row>
    <row r="44" customFormat="false" ht="14.25" hidden="false" customHeight="true" outlineLevel="0" collapsed="false">
      <c r="B44" s="45" t="s">
        <v>90</v>
      </c>
    </row>
    <row r="45" customFormat="false" ht="14.25" hidden="false" customHeight="true" outlineLevel="0" collapsed="false">
      <c r="B45" s="46" t="s">
        <v>91</v>
      </c>
      <c r="C45" s="47" t="s">
        <v>92</v>
      </c>
    </row>
    <row r="46" customFormat="false" ht="14.25" hidden="false" customHeight="true" outlineLevel="0" collapsed="false">
      <c r="B46" s="48" t="s">
        <v>93</v>
      </c>
      <c r="C46" s="47" t="s">
        <v>94</v>
      </c>
    </row>
    <row r="47" customFormat="false" ht="14.25" hidden="false" customHeight="true" outlineLevel="0" collapsed="false">
      <c r="B47" s="31" t="s">
        <v>95</v>
      </c>
      <c r="C47" s="47" t="s">
        <v>96</v>
      </c>
    </row>
    <row r="48" customFormat="false" ht="14.25" hidden="false" customHeight="true" outlineLevel="0" collapsed="false">
      <c r="B48" s="49" t="s">
        <v>97</v>
      </c>
      <c r="C48" s="47" t="s">
        <v>98</v>
      </c>
    </row>
    <row r="50" customFormat="false" ht="27.75" hidden="false" customHeight="true" outlineLevel="0" collapsed="false">
      <c r="B50" s="50" t="s">
        <v>99</v>
      </c>
      <c r="C50" s="50"/>
      <c r="D50" s="50"/>
      <c r="E50" s="50"/>
      <c r="F50" s="50"/>
      <c r="G50" s="50"/>
      <c r="H50" s="50"/>
    </row>
  </sheetData>
  <mergeCells count="8">
    <mergeCell ref="B1:H1"/>
    <mergeCell ref="B2:H2"/>
    <mergeCell ref="B6:H6"/>
    <mergeCell ref="B13:H13"/>
    <mergeCell ref="B22:H22"/>
    <mergeCell ref="B32:H32"/>
    <mergeCell ref="B42:H42"/>
    <mergeCell ref="B50:H5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N14" activeCellId="0" sqref="N14"/>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3"/>
    <col collapsed="false" customWidth="true" hidden="false" outlineLevel="0" max="8" min="4" style="1" width="15"/>
  </cols>
  <sheetData>
    <row r="1" customFormat="false" ht="25.5" hidden="false" customHeight="true" outlineLevel="0" collapsed="false">
      <c r="B1" s="51" t="s">
        <v>100</v>
      </c>
      <c r="C1" s="51"/>
      <c r="D1" s="51"/>
      <c r="E1" s="51"/>
      <c r="F1" s="51"/>
      <c r="G1" s="51"/>
      <c r="H1" s="51"/>
    </row>
    <row r="2" customFormat="false" ht="33.75" hidden="false" customHeight="true" outlineLevel="0" collapsed="false">
      <c r="B2" s="52" t="s">
        <v>101</v>
      </c>
      <c r="C2" s="52"/>
      <c r="D2" s="52"/>
      <c r="E2" s="52"/>
      <c r="F2" s="52"/>
      <c r="G2" s="52"/>
      <c r="H2" s="52"/>
    </row>
    <row r="4" customFormat="false" ht="21.75" hidden="false" customHeight="true" outlineLevel="0" collapsed="false">
      <c r="B4" s="53" t="s">
        <v>102</v>
      </c>
      <c r="C4" s="53" t="s">
        <v>15</v>
      </c>
      <c r="D4" s="54" t="s">
        <v>50</v>
      </c>
      <c r="E4" s="54" t="s">
        <v>51</v>
      </c>
      <c r="F4" s="54" t="s">
        <v>52</v>
      </c>
      <c r="G4" s="54" t="s">
        <v>53</v>
      </c>
      <c r="H4" s="54" t="s">
        <v>54</v>
      </c>
    </row>
    <row r="6" customFormat="false" ht="19.5" hidden="false" customHeight="true" outlineLevel="0" collapsed="false">
      <c r="B6" s="55" t="s">
        <v>103</v>
      </c>
      <c r="C6" s="55"/>
      <c r="D6" s="55"/>
      <c r="E6" s="55"/>
      <c r="F6" s="55"/>
      <c r="G6" s="55"/>
      <c r="H6" s="55"/>
    </row>
    <row r="7" customFormat="false" ht="18.75" hidden="false" customHeight="true" outlineLevel="0" collapsed="false">
      <c r="B7" s="56" t="s">
        <v>88</v>
      </c>
      <c r="C7" s="57" t="s">
        <v>22</v>
      </c>
      <c r="D7" s="58" t="n">
        <f aca="false">'P&amp;L Forecast'!D39</f>
        <v>138961</v>
      </c>
      <c r="E7" s="58" t="n">
        <f aca="false">'P&amp;L Forecast'!E39</f>
        <v>185954.68404</v>
      </c>
      <c r="F7" s="58" t="n">
        <f aca="false">'P&amp;L Forecast'!F39</f>
        <v>237556.316344666</v>
      </c>
      <c r="G7" s="58" t="n">
        <f aca="false">'P&amp;L Forecast'!G39</f>
        <v>293252.511314499</v>
      </c>
      <c r="H7" s="58" t="n">
        <f aca="false">'P&amp;L Forecast'!H39</f>
        <v>352310.055360345</v>
      </c>
    </row>
    <row r="8" customFormat="false" ht="18.75" hidden="false" customHeight="true" outlineLevel="0" collapsed="false">
      <c r="B8" s="56" t="s">
        <v>83</v>
      </c>
      <c r="C8" s="57" t="s">
        <v>22</v>
      </c>
      <c r="D8" s="58" t="n">
        <f aca="false">'P&amp;L Forecast'!D33</f>
        <v>35250</v>
      </c>
      <c r="E8" s="58" t="n">
        <f aca="false">'P&amp;L Forecast'!E33</f>
        <v>38309.7</v>
      </c>
      <c r="F8" s="58" t="n">
        <f aca="false">'P&amp;L Forecast'!F33</f>
        <v>41142.19824</v>
      </c>
      <c r="G8" s="58" t="n">
        <f aca="false">'P&amp;L Forecast'!G33</f>
        <v>43643.643892992</v>
      </c>
      <c r="H8" s="58" t="n">
        <f aca="false">'P&amp;L Forecast'!H33</f>
        <v>45709.7853403497</v>
      </c>
    </row>
    <row r="9" customFormat="false" ht="18.75" hidden="false" customHeight="true" outlineLevel="0" collapsed="false">
      <c r="B9" s="56" t="s">
        <v>104</v>
      </c>
      <c r="C9" s="57" t="s">
        <v>22</v>
      </c>
      <c r="D9" s="58" t="n">
        <f aca="false">'Forecast Assumptions'!D32*'P&amp;L Forecast'!D10</f>
        <v>-7050</v>
      </c>
      <c r="E9" s="58" t="n">
        <f aca="false">'Forecast Assumptions'!E32*'P&amp;L Forecast'!E10</f>
        <v>-8065.2</v>
      </c>
      <c r="F9" s="58" t="n">
        <f aca="false">'Forecast Assumptions'!F32*'P&amp;L Forecast'!F10</f>
        <v>-9142.71072</v>
      </c>
      <c r="G9" s="58" t="n">
        <f aca="false">'Forecast Assumptions'!G32*'P&amp;L Forecast'!G10</f>
        <v>-10269.092680704</v>
      </c>
      <c r="H9" s="58" t="n">
        <f aca="false">'Forecast Assumptions'!H32*'P&amp;L Forecast'!H10</f>
        <v>-11427.4463350874</v>
      </c>
    </row>
    <row r="10" customFormat="false" ht="18.75" hidden="false" customHeight="true" outlineLevel="0" collapsed="false">
      <c r="B10" s="59" t="s">
        <v>103</v>
      </c>
      <c r="C10" s="60" t="s">
        <v>22</v>
      </c>
      <c r="D10" s="61" t="n">
        <f aca="false">SUM(D7:D9)</f>
        <v>167161</v>
      </c>
      <c r="E10" s="61" t="n">
        <f aca="false">SUM(E7:E9)</f>
        <v>216199.18404</v>
      </c>
      <c r="F10" s="61" t="n">
        <f aca="false">SUM(F7:F9)</f>
        <v>269555.803864666</v>
      </c>
      <c r="G10" s="61" t="n">
        <f aca="false">SUM(G7:G9)</f>
        <v>326627.062526787</v>
      </c>
      <c r="H10" s="61" t="n">
        <f aca="false">SUM(H7:H9)</f>
        <v>386592.394365607</v>
      </c>
    </row>
    <row r="12" customFormat="false" ht="19.5" hidden="false" customHeight="true" outlineLevel="0" collapsed="false">
      <c r="B12" s="55" t="s">
        <v>105</v>
      </c>
      <c r="C12" s="55"/>
      <c r="D12" s="55"/>
      <c r="E12" s="55"/>
      <c r="F12" s="55"/>
      <c r="G12" s="55"/>
      <c r="H12" s="55"/>
    </row>
    <row r="13" customFormat="false" ht="18.75" hidden="false" customHeight="true" outlineLevel="0" collapsed="false">
      <c r="B13" s="56" t="s">
        <v>106</v>
      </c>
      <c r="C13" s="57" t="s">
        <v>22</v>
      </c>
      <c r="D13" s="58" t="n">
        <f aca="false">'Forecast Assumptions'!D31*'P&amp;L Forecast'!D10</f>
        <v>-35250</v>
      </c>
      <c r="E13" s="58" t="n">
        <f aca="false">'Forecast Assumptions'!E31*'P&amp;L Forecast'!E10</f>
        <v>-38309.7</v>
      </c>
      <c r="F13" s="58" t="n">
        <f aca="false">'Forecast Assumptions'!F31*'P&amp;L Forecast'!F10</f>
        <v>-41142.19824</v>
      </c>
      <c r="G13" s="58" t="n">
        <f aca="false">'Forecast Assumptions'!G31*'P&amp;L Forecast'!G10</f>
        <v>-43643.643892992</v>
      </c>
      <c r="H13" s="58" t="n">
        <f aca="false">'Forecast Assumptions'!H31*'P&amp;L Forecast'!H10</f>
        <v>-45709.7853403497</v>
      </c>
    </row>
    <row r="14" customFormat="false" ht="18.75" hidden="false" customHeight="true" outlineLevel="0" collapsed="false">
      <c r="B14" s="59" t="s">
        <v>105</v>
      </c>
      <c r="C14" s="60" t="s">
        <v>22</v>
      </c>
      <c r="D14" s="61" t="n">
        <f aca="false">D13</f>
        <v>-35250</v>
      </c>
      <c r="E14" s="61" t="n">
        <f aca="false">E13</f>
        <v>-38309.7</v>
      </c>
      <c r="F14" s="61" t="n">
        <f aca="false">F13</f>
        <v>-41142.19824</v>
      </c>
      <c r="G14" s="61" t="n">
        <f aca="false">G13</f>
        <v>-43643.643892992</v>
      </c>
      <c r="H14" s="61" t="n">
        <f aca="false">H13</f>
        <v>-45709.7853403497</v>
      </c>
    </row>
    <row r="16" customFormat="false" ht="19.5" hidden="false" customHeight="true" outlineLevel="0" collapsed="false">
      <c r="B16" s="55" t="s">
        <v>107</v>
      </c>
      <c r="C16" s="55"/>
      <c r="D16" s="55"/>
      <c r="E16" s="55"/>
      <c r="F16" s="55"/>
      <c r="G16" s="55"/>
      <c r="H16" s="55"/>
    </row>
    <row r="17" customFormat="false" ht="18.75" hidden="false" customHeight="true" outlineLevel="0" collapsed="false">
      <c r="B17" s="56" t="s">
        <v>108</v>
      </c>
      <c r="C17" s="57" t="s">
        <v>22</v>
      </c>
      <c r="D17" s="58" t="n">
        <f aca="false">-'Forecast Assumptions'!D33*'P&amp;L Forecast'!D39</f>
        <v>-83376.6</v>
      </c>
      <c r="E17" s="58" t="n">
        <f aca="false">-'Forecast Assumptions'!E33*'P&amp;L Forecast'!E39</f>
        <v>-111572.810424</v>
      </c>
      <c r="F17" s="58" t="n">
        <f aca="false">-'Forecast Assumptions'!F33*'P&amp;L Forecast'!F39</f>
        <v>-142533.789806799</v>
      </c>
      <c r="G17" s="58" t="n">
        <f aca="false">-'Forecast Assumptions'!G33*'P&amp;L Forecast'!G39</f>
        <v>-175951.5067887</v>
      </c>
      <c r="H17" s="58" t="n">
        <f aca="false">-'Forecast Assumptions'!H33*'P&amp;L Forecast'!H39</f>
        <v>-211386.033216207</v>
      </c>
    </row>
    <row r="18" customFormat="false" ht="18.75" hidden="false" customHeight="true" outlineLevel="0" collapsed="false">
      <c r="B18" s="59" t="s">
        <v>109</v>
      </c>
      <c r="C18" s="60" t="s">
        <v>22</v>
      </c>
      <c r="D18" s="61" t="n">
        <f aca="false">D10+D14+D17</f>
        <v>48534.4</v>
      </c>
      <c r="E18" s="61" t="n">
        <f aca="false">E10+E14+E17</f>
        <v>66316.6736159999</v>
      </c>
      <c r="F18" s="61" t="n">
        <f aca="false">F10+F14+F17</f>
        <v>85879.8158178663</v>
      </c>
      <c r="G18" s="61" t="n">
        <f aca="false">G10+G14+G17</f>
        <v>107031.911845096</v>
      </c>
      <c r="H18" s="61" t="n">
        <f aca="false">H10+H14+H17</f>
        <v>129496.57580905</v>
      </c>
    </row>
    <row r="19" customFormat="false" ht="18.75" hidden="false" customHeight="true" outlineLevel="0" collapsed="false">
      <c r="B19" s="62" t="s">
        <v>110</v>
      </c>
      <c r="C19" s="57" t="s">
        <v>22</v>
      </c>
      <c r="D19" s="63" t="n">
        <v>0</v>
      </c>
      <c r="E19" s="63" t="n">
        <v>0</v>
      </c>
      <c r="F19" s="63" t="n">
        <v>0</v>
      </c>
      <c r="G19" s="63" t="n">
        <v>0</v>
      </c>
      <c r="H19" s="63" t="n">
        <v>0</v>
      </c>
    </row>
    <row r="20" customFormat="false" ht="18.75" hidden="false" customHeight="true" outlineLevel="0" collapsed="false">
      <c r="B20" s="62" t="s">
        <v>111</v>
      </c>
      <c r="C20" s="57" t="s">
        <v>22</v>
      </c>
      <c r="D20" s="58" t="n">
        <f aca="false">D32</f>
        <v>-48534.4</v>
      </c>
      <c r="E20" s="58" t="n">
        <f aca="false">E32</f>
        <v>-66316.6736159999</v>
      </c>
      <c r="F20" s="58" t="n">
        <f aca="false">F32</f>
        <v>-85879.8158178663</v>
      </c>
      <c r="G20" s="58" t="n">
        <f aca="false">G32</f>
        <v>-107031.911845096</v>
      </c>
      <c r="H20" s="58" t="n">
        <f aca="false">H32</f>
        <v>-92237.198721038</v>
      </c>
    </row>
    <row r="21" customFormat="false" ht="18.75" hidden="false" customHeight="true" outlineLevel="0" collapsed="false">
      <c r="B21" s="59" t="s">
        <v>107</v>
      </c>
      <c r="C21" s="60" t="s">
        <v>22</v>
      </c>
      <c r="D21" s="61" t="n">
        <f aca="false">D17+D19+D20</f>
        <v>-131911</v>
      </c>
      <c r="E21" s="61" t="n">
        <f aca="false">E17+E19+E20</f>
        <v>-177889.48404</v>
      </c>
      <c r="F21" s="61" t="n">
        <f aca="false">F17+F19+F20</f>
        <v>-228413.605624666</v>
      </c>
      <c r="G21" s="61" t="n">
        <f aca="false">G17+G19+G20</f>
        <v>-282983.418633795</v>
      </c>
      <c r="H21" s="61" t="n">
        <f aca="false">H17+H19+H20</f>
        <v>-303623.231937245</v>
      </c>
    </row>
    <row r="22" customFormat="false" ht="18.75" hidden="false" customHeight="true" outlineLevel="0" collapsed="false">
      <c r="B22" s="59" t="s">
        <v>112</v>
      </c>
      <c r="C22" s="60" t="s">
        <v>22</v>
      </c>
      <c r="D22" s="61" t="n">
        <f aca="false">D10+D14+D21</f>
        <v>0</v>
      </c>
      <c r="E22" s="61" t="n">
        <f aca="false">E10+E14+E21</f>
        <v>0</v>
      </c>
      <c r="F22" s="61" t="n">
        <f aca="false">F10+F14+F21</f>
        <v>0</v>
      </c>
      <c r="G22" s="61" t="n">
        <f aca="false">G10+G14+G21</f>
        <v>0</v>
      </c>
      <c r="H22" s="61" t="n">
        <f aca="false">H10+H14+H21</f>
        <v>37259.3770880124</v>
      </c>
    </row>
    <row r="24" customFormat="false" ht="19.5" hidden="false" customHeight="true" outlineLevel="0" collapsed="false">
      <c r="B24" s="55" t="s">
        <v>113</v>
      </c>
      <c r="C24" s="55"/>
      <c r="D24" s="55"/>
      <c r="E24" s="55"/>
      <c r="F24" s="55"/>
      <c r="G24" s="55"/>
      <c r="H24" s="55"/>
    </row>
    <row r="25" customFormat="false" ht="18.75" hidden="false" customHeight="true" outlineLevel="0" collapsed="false">
      <c r="B25" s="62" t="s">
        <v>114</v>
      </c>
      <c r="C25" s="57" t="s">
        <v>22</v>
      </c>
      <c r="D25" s="63" t="n">
        <v>15000</v>
      </c>
      <c r="E25" s="58" t="n">
        <f aca="false">D27</f>
        <v>15000</v>
      </c>
      <c r="F25" s="58" t="n">
        <f aca="false">E27</f>
        <v>15000</v>
      </c>
      <c r="G25" s="58" t="n">
        <f aca="false">F27</f>
        <v>15000</v>
      </c>
      <c r="H25" s="58" t="n">
        <f aca="false">G27</f>
        <v>15000</v>
      </c>
    </row>
    <row r="26" customFormat="false" ht="18.75" hidden="false" customHeight="true" outlineLevel="0" collapsed="false">
      <c r="B26" s="62" t="s">
        <v>112</v>
      </c>
      <c r="C26" s="57" t="s">
        <v>22</v>
      </c>
      <c r="D26" s="58" t="n">
        <f aca="false">D22</f>
        <v>0</v>
      </c>
      <c r="E26" s="58" t="n">
        <f aca="false">E22</f>
        <v>0</v>
      </c>
      <c r="F26" s="58" t="n">
        <f aca="false">F22</f>
        <v>0</v>
      </c>
      <c r="G26" s="58" t="n">
        <f aca="false">G22</f>
        <v>0</v>
      </c>
      <c r="H26" s="58" t="n">
        <f aca="false">H22</f>
        <v>37259.3770880124</v>
      </c>
    </row>
    <row r="27" customFormat="false" ht="18.75" hidden="false" customHeight="true" outlineLevel="0" collapsed="false">
      <c r="B27" s="59" t="s">
        <v>115</v>
      </c>
      <c r="C27" s="60" t="s">
        <v>22</v>
      </c>
      <c r="D27" s="61" t="n">
        <f aca="false">D25+D26</f>
        <v>15000</v>
      </c>
      <c r="E27" s="61" t="n">
        <f aca="false">E25+E26</f>
        <v>15000</v>
      </c>
      <c r="F27" s="61" t="n">
        <f aca="false">F25+F26</f>
        <v>15000</v>
      </c>
      <c r="G27" s="61" t="n">
        <f aca="false">G25+G26</f>
        <v>15000</v>
      </c>
      <c r="H27" s="61" t="n">
        <f aca="false">H25+H26</f>
        <v>52259.3770880124</v>
      </c>
    </row>
    <row r="29" customFormat="false" ht="19.5" hidden="false" customHeight="true" outlineLevel="0" collapsed="false">
      <c r="B29" s="55" t="s">
        <v>116</v>
      </c>
      <c r="C29" s="55"/>
      <c r="D29" s="55"/>
      <c r="E29" s="55"/>
      <c r="F29" s="55"/>
      <c r="G29" s="55"/>
      <c r="H29" s="55"/>
    </row>
    <row r="30" customFormat="false" ht="18.75" hidden="false" customHeight="true" outlineLevel="0" collapsed="false">
      <c r="B30" s="62" t="s">
        <v>117</v>
      </c>
      <c r="C30" s="57" t="s">
        <v>22</v>
      </c>
      <c r="D30" s="63" t="n">
        <v>400000</v>
      </c>
      <c r="E30" s="58" t="n">
        <f aca="false">D33</f>
        <v>351465.6</v>
      </c>
      <c r="F30" s="58" t="n">
        <f aca="false">E33</f>
        <v>285148.926384</v>
      </c>
      <c r="G30" s="58" t="n">
        <f aca="false">F33</f>
        <v>199269.110566134</v>
      </c>
      <c r="H30" s="58" t="n">
        <f aca="false">G33</f>
        <v>92237.198721038</v>
      </c>
    </row>
    <row r="31" customFormat="false" ht="18.75" hidden="false" customHeight="true" outlineLevel="0" collapsed="false">
      <c r="B31" s="62" t="s">
        <v>110</v>
      </c>
      <c r="C31" s="57" t="s">
        <v>22</v>
      </c>
      <c r="D31" s="64" t="n">
        <f aca="false">D19</f>
        <v>0</v>
      </c>
      <c r="E31" s="64" t="n">
        <f aca="false">E19</f>
        <v>0</v>
      </c>
      <c r="F31" s="64" t="n">
        <f aca="false">F19</f>
        <v>0</v>
      </c>
      <c r="G31" s="64" t="n">
        <f aca="false">G19</f>
        <v>0</v>
      </c>
      <c r="H31" s="64" t="n">
        <f aca="false">H19</f>
        <v>0</v>
      </c>
    </row>
    <row r="32" customFormat="false" ht="18.75" hidden="false" customHeight="true" outlineLevel="0" collapsed="false">
      <c r="B32" s="62" t="s">
        <v>111</v>
      </c>
      <c r="C32" s="57" t="s">
        <v>22</v>
      </c>
      <c r="D32" s="58" t="n">
        <f aca="false">-MIN(MAX(D18,0),D30)</f>
        <v>-48534.4</v>
      </c>
      <c r="E32" s="58" t="n">
        <f aca="false">-MIN(MAX(E18,0),E30)</f>
        <v>-66316.6736159999</v>
      </c>
      <c r="F32" s="58" t="n">
        <f aca="false">-MIN(MAX(F18,0),F30)</f>
        <v>-85879.8158178663</v>
      </c>
      <c r="G32" s="58" t="n">
        <f aca="false">-MIN(MAX(G18,0),G30)</f>
        <v>-107031.911845096</v>
      </c>
      <c r="H32" s="58" t="n">
        <f aca="false">-MIN(MAX(H18,0),H30)</f>
        <v>-92237.198721038</v>
      </c>
    </row>
    <row r="33" customFormat="false" ht="18.75" hidden="false" customHeight="true" outlineLevel="0" collapsed="false">
      <c r="B33" s="59" t="s">
        <v>118</v>
      </c>
      <c r="C33" s="60" t="s">
        <v>22</v>
      </c>
      <c r="D33" s="61" t="n">
        <f aca="false">D30+D31+D32</f>
        <v>351465.6</v>
      </c>
      <c r="E33" s="61" t="n">
        <f aca="false">E30+E31+E32</f>
        <v>285148.926384</v>
      </c>
      <c r="F33" s="61" t="n">
        <f aca="false">F30+F31+F32</f>
        <v>199269.110566134</v>
      </c>
      <c r="G33" s="61" t="n">
        <f aca="false">G30+G31+G32</f>
        <v>92237.198721038</v>
      </c>
      <c r="H33" s="61" t="n">
        <f aca="false">H30+H31+H32</f>
        <v>0</v>
      </c>
    </row>
    <row r="35" customFormat="false" ht="19.5" hidden="false" customHeight="true" outlineLevel="0" collapsed="false">
      <c r="B35" s="55" t="s">
        <v>119</v>
      </c>
      <c r="C35" s="55"/>
      <c r="D35" s="55"/>
      <c r="E35" s="55"/>
      <c r="F35" s="55"/>
      <c r="G35" s="55"/>
      <c r="H35" s="55"/>
    </row>
    <row r="36" customFormat="false" ht="18.75" hidden="false" customHeight="true" outlineLevel="0" collapsed="false">
      <c r="B36" s="56" t="s">
        <v>44</v>
      </c>
      <c r="C36" s="57" t="s">
        <v>39</v>
      </c>
      <c r="D36" s="65" t="n">
        <f aca="false">'Forecast Assumptions'!D37</f>
        <v>0.04</v>
      </c>
      <c r="E36" s="65" t="n">
        <f aca="false">'Forecast Assumptions'!E37</f>
        <v>0.04</v>
      </c>
      <c r="F36" s="65" t="n">
        <f aca="false">'Forecast Assumptions'!F37</f>
        <v>0.04</v>
      </c>
      <c r="G36" s="65" t="n">
        <f aca="false">'Forecast Assumptions'!G37</f>
        <v>0.04</v>
      </c>
      <c r="H36" s="65" t="n">
        <f aca="false">'Forecast Assumptions'!H37</f>
        <v>0.04</v>
      </c>
    </row>
    <row r="37" customFormat="false" ht="18.75" hidden="false" customHeight="true" outlineLevel="0" collapsed="false">
      <c r="B37" s="62" t="s">
        <v>120</v>
      </c>
      <c r="C37" s="57" t="s">
        <v>22</v>
      </c>
      <c r="D37" s="58" t="n">
        <f aca="false">D30*D36</f>
        <v>16000</v>
      </c>
      <c r="E37" s="58" t="n">
        <f aca="false">E30*E36</f>
        <v>14058.624</v>
      </c>
      <c r="F37" s="58" t="n">
        <f aca="false">F30*F36</f>
        <v>11405.95705536</v>
      </c>
      <c r="G37" s="58" t="n">
        <f aca="false">G30*G36</f>
        <v>7970.76442264535</v>
      </c>
      <c r="H37" s="58" t="n">
        <f aca="false">H30*H36</f>
        <v>3689.48794884152</v>
      </c>
    </row>
    <row r="38" customFormat="false" ht="18.75" hidden="false" customHeight="true" outlineLevel="0" collapsed="false">
      <c r="B38" s="56" t="s">
        <v>46</v>
      </c>
      <c r="C38" s="57" t="s">
        <v>39</v>
      </c>
      <c r="D38" s="65" t="n">
        <f aca="false">'Forecast Assumptions'!D38</f>
        <v>0.01</v>
      </c>
      <c r="E38" s="65" t="n">
        <f aca="false">'Forecast Assumptions'!E38</f>
        <v>0.01</v>
      </c>
      <c r="F38" s="65" t="n">
        <f aca="false">'Forecast Assumptions'!F38</f>
        <v>0.01</v>
      </c>
      <c r="G38" s="65" t="n">
        <f aca="false">'Forecast Assumptions'!G38</f>
        <v>0.01</v>
      </c>
      <c r="H38" s="65" t="n">
        <f aca="false">'Forecast Assumptions'!H38</f>
        <v>0.01</v>
      </c>
    </row>
    <row r="39" customFormat="false" ht="18.75" hidden="false" customHeight="true" outlineLevel="0" collapsed="false">
      <c r="B39" s="62" t="s">
        <v>121</v>
      </c>
      <c r="C39" s="57" t="s">
        <v>22</v>
      </c>
      <c r="D39" s="58" t="n">
        <f aca="false">D25*D38</f>
        <v>150</v>
      </c>
      <c r="E39" s="58" t="n">
        <f aca="false">E25*E38</f>
        <v>150</v>
      </c>
      <c r="F39" s="58" t="n">
        <f aca="false">F25*F38</f>
        <v>150</v>
      </c>
      <c r="G39" s="58" t="n">
        <f aca="false">G25*G38</f>
        <v>150</v>
      </c>
      <c r="H39" s="58" t="n">
        <f aca="false">H25*H38</f>
        <v>150</v>
      </c>
    </row>
    <row r="40" customFormat="false" ht="18.75" hidden="false" customHeight="true" outlineLevel="0" collapsed="false">
      <c r="B40" s="59" t="s">
        <v>85</v>
      </c>
      <c r="C40" s="60" t="s">
        <v>22</v>
      </c>
      <c r="D40" s="61" t="n">
        <f aca="false">D37-D39</f>
        <v>15850</v>
      </c>
      <c r="E40" s="61" t="n">
        <f aca="false">E37-E39</f>
        <v>13908.624</v>
      </c>
      <c r="F40" s="61" t="n">
        <f aca="false">F37-F39</f>
        <v>11255.95705536</v>
      </c>
      <c r="G40" s="61" t="n">
        <f aca="false">G37-G39</f>
        <v>7820.76442264535</v>
      </c>
      <c r="H40" s="61" t="n">
        <f aca="false">H37-H39</f>
        <v>3539.48794884152</v>
      </c>
    </row>
    <row r="43" customFormat="false" ht="19.5" hidden="false" customHeight="true" outlineLevel="0" collapsed="false">
      <c r="B43" s="55" t="s">
        <v>122</v>
      </c>
      <c r="C43" s="55"/>
      <c r="D43" s="55"/>
      <c r="E43" s="55"/>
      <c r="F43" s="55"/>
      <c r="G43" s="55"/>
      <c r="H43" s="55"/>
    </row>
    <row r="44" customFormat="false" ht="24" hidden="false" customHeight="true" outlineLevel="0" collapsed="false">
      <c r="B44" s="66" t="s">
        <v>123</v>
      </c>
      <c r="C44" s="66"/>
      <c r="D44" s="66"/>
      <c r="E44" s="66"/>
      <c r="F44" s="66"/>
      <c r="G44" s="66"/>
      <c r="H44" s="66"/>
    </row>
    <row r="45" customFormat="false" ht="24" hidden="false" customHeight="true" outlineLevel="0" collapsed="false">
      <c r="B45" s="66" t="s">
        <v>124</v>
      </c>
      <c r="C45" s="66"/>
      <c r="D45" s="66"/>
      <c r="E45" s="66"/>
      <c r="F45" s="66"/>
      <c r="G45" s="66"/>
      <c r="H45" s="66"/>
    </row>
    <row r="46" customFormat="false" ht="28.5" hidden="false" customHeight="true" outlineLevel="0" collapsed="false">
      <c r="B46" s="66" t="s">
        <v>125</v>
      </c>
      <c r="C46" s="66"/>
      <c r="D46" s="66"/>
      <c r="E46" s="66"/>
      <c r="F46" s="66"/>
      <c r="G46" s="66"/>
      <c r="H46" s="66"/>
    </row>
    <row r="47" customFormat="false" ht="24" hidden="false" customHeight="true" outlineLevel="0" collapsed="false">
      <c r="B47" s="66" t="s">
        <v>126</v>
      </c>
      <c r="C47" s="66"/>
      <c r="D47" s="66"/>
      <c r="E47" s="66"/>
      <c r="F47" s="66"/>
      <c r="G47" s="66"/>
      <c r="H47" s="66"/>
    </row>
    <row r="48" customFormat="false" ht="28.5" hidden="false" customHeight="true" outlineLevel="0" collapsed="false">
      <c r="B48" s="66" t="s">
        <v>127</v>
      </c>
      <c r="C48" s="66"/>
      <c r="D48" s="66"/>
      <c r="E48" s="66"/>
      <c r="F48" s="66"/>
      <c r="G48" s="66"/>
      <c r="H48" s="66"/>
    </row>
    <row r="50" customFormat="false" ht="14.25" hidden="false" customHeight="true" outlineLevel="0" collapsed="false">
      <c r="B50" s="67" t="s">
        <v>90</v>
      </c>
      <c r="C50" s="67"/>
      <c r="D50" s="67"/>
      <c r="E50" s="67"/>
      <c r="F50" s="67"/>
      <c r="G50" s="67"/>
      <c r="H50" s="67"/>
    </row>
    <row r="51" customFormat="false" ht="14.25" hidden="false" customHeight="true" outlineLevel="0" collapsed="false">
      <c r="B51" s="68" t="s">
        <v>91</v>
      </c>
      <c r="C51" s="69" t="s">
        <v>128</v>
      </c>
      <c r="D51" s="69"/>
      <c r="E51" s="69"/>
      <c r="F51" s="69"/>
      <c r="G51" s="69"/>
      <c r="H51" s="69"/>
    </row>
    <row r="52" customFormat="false" ht="14.25" hidden="false" customHeight="true" outlineLevel="0" collapsed="false">
      <c r="B52" s="68" t="s">
        <v>129</v>
      </c>
      <c r="C52" s="69" t="s">
        <v>130</v>
      </c>
      <c r="D52" s="69"/>
      <c r="E52" s="69"/>
      <c r="F52" s="69"/>
      <c r="G52" s="69"/>
      <c r="H52" s="69"/>
    </row>
    <row r="53" customFormat="false" ht="14.25" hidden="false" customHeight="true" outlineLevel="0" collapsed="false">
      <c r="B53" s="68" t="s">
        <v>131</v>
      </c>
      <c r="C53" s="69" t="s">
        <v>132</v>
      </c>
      <c r="D53" s="69"/>
      <c r="E53" s="69"/>
      <c r="F53" s="69"/>
      <c r="G53" s="69"/>
      <c r="H53" s="69"/>
    </row>
    <row r="54" customFormat="false" ht="14.25" hidden="false" customHeight="true" outlineLevel="0" collapsed="false">
      <c r="B54" s="68" t="s">
        <v>133</v>
      </c>
      <c r="C54" s="69" t="s">
        <v>134</v>
      </c>
      <c r="D54" s="69"/>
      <c r="E54" s="69"/>
      <c r="F54" s="69"/>
      <c r="G54" s="69"/>
      <c r="H54" s="69"/>
    </row>
  </sheetData>
  <mergeCells count="19">
    <mergeCell ref="B1:H1"/>
    <mergeCell ref="B2:H2"/>
    <mergeCell ref="B6:H6"/>
    <mergeCell ref="B12:H12"/>
    <mergeCell ref="B16:H16"/>
    <mergeCell ref="B24:H24"/>
    <mergeCell ref="B29:H29"/>
    <mergeCell ref="B35:H35"/>
    <mergeCell ref="B43:H43"/>
    <mergeCell ref="B44:H44"/>
    <mergeCell ref="B45:H45"/>
    <mergeCell ref="B46:H46"/>
    <mergeCell ref="B47:H47"/>
    <mergeCell ref="B48:H48"/>
    <mergeCell ref="B50:H50"/>
    <mergeCell ref="C51:H51"/>
    <mergeCell ref="C52:H52"/>
    <mergeCell ref="C53:H53"/>
    <mergeCell ref="C54:H5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95"/>
  </cols>
  <sheetData>
    <row r="1" customFormat="false" ht="30" hidden="false" customHeight="true" outlineLevel="0" collapsed="false">
      <c r="B1" s="13" t="s">
        <v>135</v>
      </c>
      <c r="C1" s="13"/>
    </row>
    <row r="3" customFormat="false" ht="14.25" hidden="false" customHeight="true" outlineLevel="0" collapsed="false">
      <c r="B3" s="70" t="s">
        <v>136</v>
      </c>
      <c r="C3" s="70" t="s">
        <v>137</v>
      </c>
    </row>
    <row r="4" customFormat="false" ht="48" hidden="false" customHeight="true" outlineLevel="0" collapsed="false">
      <c r="B4" s="71" t="s">
        <v>33</v>
      </c>
      <c r="C4" s="7" t="s">
        <v>138</v>
      </c>
    </row>
    <row r="5" customFormat="false" ht="48" hidden="false" customHeight="true" outlineLevel="0" collapsed="false">
      <c r="B5" s="71" t="s">
        <v>58</v>
      </c>
      <c r="C5" s="7" t="s">
        <v>139</v>
      </c>
    </row>
    <row r="6" customFormat="false" ht="48" hidden="false" customHeight="true" outlineLevel="0" collapsed="false">
      <c r="B6" s="71" t="s">
        <v>60</v>
      </c>
      <c r="C6" s="7" t="s">
        <v>140</v>
      </c>
    </row>
    <row r="7" customFormat="false" ht="48" hidden="false" customHeight="true" outlineLevel="0" collapsed="false">
      <c r="B7" s="71" t="s">
        <v>38</v>
      </c>
      <c r="C7" s="7" t="s">
        <v>141</v>
      </c>
    </row>
    <row r="8" customFormat="false" ht="48" hidden="false" customHeight="true" outlineLevel="0" collapsed="false">
      <c r="B8" s="71" t="s">
        <v>80</v>
      </c>
      <c r="C8" s="7" t="s">
        <v>142</v>
      </c>
    </row>
    <row r="9" customFormat="false" ht="48" hidden="false" customHeight="true" outlineLevel="0" collapsed="false">
      <c r="B9" s="71" t="s">
        <v>84</v>
      </c>
      <c r="C9" s="7" t="s">
        <v>143</v>
      </c>
    </row>
    <row r="10" customFormat="false" ht="48" hidden="false" customHeight="true" outlineLevel="0" collapsed="false">
      <c r="B10" s="71" t="s">
        <v>144</v>
      </c>
      <c r="C10" s="7" t="s">
        <v>145</v>
      </c>
    </row>
    <row r="11" customFormat="false" ht="48" hidden="false" customHeight="true" outlineLevel="0" collapsed="false">
      <c r="B11" s="71" t="s">
        <v>59</v>
      </c>
      <c r="C11" s="7" t="s">
        <v>146</v>
      </c>
    </row>
    <row r="12" customFormat="false" ht="48" hidden="false" customHeight="true" outlineLevel="0" collapsed="false">
      <c r="B12" s="71" t="s">
        <v>147</v>
      </c>
      <c r="C12" s="7" t="s">
        <v>148</v>
      </c>
    </row>
    <row r="13" customFormat="false" ht="48" hidden="false" customHeight="true" outlineLevel="0" collapsed="false">
      <c r="B13" s="71" t="s">
        <v>149</v>
      </c>
      <c r="C13" s="7" t="s">
        <v>150</v>
      </c>
    </row>
    <row r="14" customFormat="false" ht="37.5" hidden="false" customHeight="true" outlineLevel="0" collapsed="false">
      <c r="B14" s="71" t="s">
        <v>151</v>
      </c>
      <c r="C14" s="7" t="s">
        <v>152</v>
      </c>
    </row>
    <row r="15" customFormat="false" ht="37.5" hidden="false" customHeight="true" outlineLevel="0" collapsed="false">
      <c r="B15" s="71" t="s">
        <v>111</v>
      </c>
      <c r="C15" s="7" t="s">
        <v>153</v>
      </c>
    </row>
    <row r="16" customFormat="false" ht="37.5" hidden="false" customHeight="true" outlineLevel="0" collapsed="false">
      <c r="B16" s="71" t="s">
        <v>120</v>
      </c>
      <c r="C16" s="7" t="s">
        <v>154</v>
      </c>
    </row>
    <row r="17" customFormat="false" ht="37.5" hidden="false" customHeight="true" outlineLevel="0" collapsed="false">
      <c r="B17" s="71" t="s">
        <v>121</v>
      </c>
      <c r="C17" s="7" t="s">
        <v>155</v>
      </c>
    </row>
    <row r="18" customFormat="false" ht="37.5" hidden="false" customHeight="true" outlineLevel="0" collapsed="false">
      <c r="B18" s="71" t="s">
        <v>85</v>
      </c>
      <c r="C18" s="7" t="s">
        <v>156</v>
      </c>
    </row>
    <row r="19" customFormat="false" ht="37.5" hidden="false" customHeight="true" outlineLevel="0" collapsed="false">
      <c r="B19" s="71" t="s">
        <v>114</v>
      </c>
      <c r="C19" s="7" t="s">
        <v>157</v>
      </c>
    </row>
    <row r="20" customFormat="false" ht="37.5" hidden="false" customHeight="true" outlineLevel="0" collapsed="false">
      <c r="B20" s="71" t="s">
        <v>115</v>
      </c>
      <c r="C20" s="7" t="s">
        <v>158</v>
      </c>
    </row>
  </sheetData>
  <mergeCells count="1">
    <mergeCell ref="B1:C1"/>
  </mergeCells>
  <printOptions headings="false" gridLines="false" gridLinesSet="true" horizontalCentered="tru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Excel in Business | Forecast Assumptions</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2026-09-09T17:07:34Z</dcterms:created>
  <dc:creator>Forage Academy</dc:creator>
  <dc:description/>
  <dc:language>en-US</dc:language>
  <cp:lastModifiedBy>Tessa Lopes</cp:lastModifiedBy>
  <dcterms:modified xsi:type="dcterms:W3CDTF">2026-09-22T18:30:07Z</dcterms:modified>
  <cp:revision>0</cp:revision>
  <dc:subject>Task 1 forecast assumptions practice workbook</dc:subject>
  <dc:title>Excel in Business - Forecast Assumptions Template</dc:title>
</cp:coreProperties>
</file>

<file path=docProps/custom.xml><?xml version="1.0" encoding="utf-8"?>
<Properties xmlns="http://schemas.openxmlformats.org/officeDocument/2006/custom-properties" xmlns:vt="http://schemas.openxmlformats.org/officeDocument/2006/docPropsVTypes"/>
</file>