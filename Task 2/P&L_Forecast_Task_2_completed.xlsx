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Information" sheetId="1" state="visible" r:id="rId3"/>
    <sheet name="Forecast Assumptions" sheetId="2" state="visible" r:id="rId4"/>
    <sheet name="Glossary" sheetId="3" state="visible" r:id="rId5"/>
    <sheet name="P&amp;L Forecast" sheetId="4" state="visible" r:id="rId6"/>
  </sheets>
  <definedNames>
    <definedName function="false" hidden="false" localSheetId="3" name="_xlnm.Print_Area" vbProcedure="false">'P&amp;L Forecast'!$B$1:$H$50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9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11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12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14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15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19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20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21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23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24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25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26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28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31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32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33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36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37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  <comment ref="D38" authorId="0">
      <text>
        <r>
          <rPr>
            <sz val="10"/>
            <rFont val="Arial"/>
            <family val="2"/>
          </rPr>
          <t xml:space="preserve">Use the Business Information tab to determine the starting assumption for FY2026E.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Use units sold and average selling price from Forecast Assumptions.</t>
        </r>
      </text>
    </comment>
    <comment ref="B14" authorId="0">
      <text>
        <r>
          <rPr>
            <sz val="10"/>
            <rFont val="Arial"/>
            <family val="2"/>
          </rPr>
          <t xml:space="preserve">Use units sold and COGS per unit from Forecast Assumptions.</t>
        </r>
      </text>
    </comment>
    <comment ref="B23" authorId="0">
      <text>
        <r>
          <rPr>
            <sz val="10"/>
            <rFont val="Arial"/>
            <family val="2"/>
          </rPr>
          <t xml:space="preserve">Link this operating expense directly from Forecast Assumptions.</t>
        </r>
      </text>
    </comment>
    <comment ref="B33" authorId="0">
      <text>
        <r>
          <rPr>
            <sz val="10"/>
            <rFont val="Arial"/>
            <family val="2"/>
          </rPr>
          <t xml:space="preserve">The D&amp;A assumption on Forecast Assumptions is stored as a negative percentage. Convert it to a positive expense amount on the P&amp;L so it can be subtracted from EBITDA.</t>
        </r>
      </text>
    </comment>
    <comment ref="B38" authorId="0">
      <text>
        <r>
          <rPr>
            <sz val="10"/>
            <rFont val="Arial"/>
            <family val="2"/>
          </rPr>
          <t xml:space="preserve">Use Profit Before Tax and the Tax Rate from Forecast Assumptions.</t>
        </r>
      </text>
    </comment>
    <comment ref="D36" authorId="0">
      <text>
        <r>
          <rPr>
            <sz val="10"/>
            <rFont val="Arial"/>
            <family val="2"/>
          </rPr>
          <t xml:space="preserve">Provided for Task 2 only. Treat this as a positive net interest expense and subtract it from EBIT. You will replace it in Task 3 after building the cash and debt forecast.</t>
        </r>
      </text>
    </comment>
    <comment ref="E36" authorId="0">
      <text>
        <r>
          <rPr>
            <sz val="10"/>
            <rFont val="Arial"/>
            <family val="2"/>
          </rPr>
          <t xml:space="preserve">Provided for Task 2 only. Treat this as a positive net interest expense and subtract it from EBIT. You will replace it in Task 3 after building the cash and debt forecast.</t>
        </r>
      </text>
    </comment>
    <comment ref="F36" authorId="0">
      <text>
        <r>
          <rPr>
            <sz val="10"/>
            <rFont val="Arial"/>
            <family val="2"/>
          </rPr>
          <t xml:space="preserve">Provided for Task 2 only. Treat this as a positive net interest expense and subtract it from EBIT. You will replace it in Task 3 after building the cash and debt forecast.</t>
        </r>
      </text>
    </comment>
    <comment ref="G36" authorId="0">
      <text>
        <r>
          <rPr>
            <sz val="10"/>
            <rFont val="Arial"/>
            <family val="2"/>
          </rPr>
          <t xml:space="preserve">Provided for Task 2 only. Treat this as a positive net interest expense and subtract it from EBIT. You will replace it in Task 3 after building the cash and debt forecast.</t>
        </r>
      </text>
    </comment>
    <comment ref="H36" authorId="0">
      <text>
        <r>
          <rPr>
            <sz val="10"/>
            <rFont val="Arial"/>
            <family val="2"/>
          </rPr>
          <t xml:space="preserve">Provided for Task 2 only. Treat this as a positive net interest expense and subtract it from EBIT. You will replace it in Task 3 after building the cash and debt forecast.</t>
        </r>
      </text>
    </comment>
  </commentList>
</comments>
</file>

<file path=xl/sharedStrings.xml><?xml version="1.0" encoding="utf-8"?>
<sst xmlns="http://schemas.openxmlformats.org/spreadsheetml/2006/main" count="228" uniqueCount="116">
  <si>
    <t xml:space="preserve">Forecast Assumptions | Business Information</t>
  </si>
  <si>
    <t xml:space="preserve">How to use this workbook</t>
  </si>
  <si>
    <t xml:space="preserve">This business information was used to build the completed Forecast Assumptions tab in Task 1. For this task, use the completed assumptions as the inputs for your P&amp;L Forecast. Do not re-enter assumptions directly into the P&amp;L when they can be linked from the assumptions worksheet.</t>
  </si>
  <si>
    <t xml:space="preserve">Revenue</t>
  </si>
  <si>
    <t xml:space="preserve">Product</t>
  </si>
  <si>
    <t xml:space="preserve">FY2026E starting units</t>
  </si>
  <si>
    <t xml:space="preserve">FY2026E avg. sale price</t>
  </si>
  <si>
    <t xml:space="preserve">Forecast rule</t>
  </si>
  <si>
    <t xml:space="preserve">Baked Goods</t>
  </si>
  <si>
    <t xml:space="preserve">From FY2027E, unit growth is 10%. Reduce the growth rate by 1 percentage point each year thereafter (9%, 8%, 7%). Average sale price grows 4% per year from FY2027E.</t>
  </si>
  <si>
    <t xml:space="preserve">Frozen Desserts</t>
  </si>
  <si>
    <t xml:space="preserve">Beverages</t>
  </si>
  <si>
    <t xml:space="preserve">Costs</t>
  </si>
  <si>
    <t xml:space="preserve">Driver</t>
  </si>
  <si>
    <t xml:space="preserve">FY2026E starting value</t>
  </si>
  <si>
    <t xml:space="preserve">Unit</t>
  </si>
  <si>
    <t xml:space="preserve">COGS per Baked Good</t>
  </si>
  <si>
    <t xml:space="preserve">$ per unit</t>
  </si>
  <si>
    <t xml:space="preserve">Increase by 2% per year from FY2027E.</t>
  </si>
  <si>
    <t xml:space="preserve">COGS per Frozen Dessert</t>
  </si>
  <si>
    <t xml:space="preserve">COGS per Beverage</t>
  </si>
  <si>
    <t xml:space="preserve">Staff Costs</t>
  </si>
  <si>
    <t xml:space="preserve">$</t>
  </si>
  <si>
    <t xml:space="preserve">Increase by 5% per year from FY2027E.</t>
  </si>
  <si>
    <t xml:space="preserve">Occupancy Costs</t>
  </si>
  <si>
    <t xml:space="preserve">Increase by 3% per year from FY2027E.</t>
  </si>
  <si>
    <t xml:space="preserve">Marketing Costs</t>
  </si>
  <si>
    <t xml:space="preserve">Other Operating Costs</t>
  </si>
  <si>
    <t xml:space="preserve">Annual D&amp;A</t>
  </si>
  <si>
    <t xml:space="preserve">% of revenue</t>
  </si>
  <si>
    <t xml:space="preserve">Increase by 0.25 percentage points each year (for example, -5.00% becomes -4.75% in FY2027E).</t>
  </si>
  <si>
    <t xml:space="preserve">Cash Flow</t>
  </si>
  <si>
    <t xml:space="preserve">Starting value</t>
  </si>
  <si>
    <t xml:space="preserve">Capital Expenditure (CapEx)</t>
  </si>
  <si>
    <t xml:space="preserve">Linked to D&amp;A</t>
  </si>
  <si>
    <t xml:space="preserve">Set CapEx equal to the Annual D&amp;A percentage in each forecast year.</t>
  </si>
  <si>
    <t xml:space="preserve">Change in Net Working Capital (NWC)</t>
  </si>
  <si>
    <t xml:space="preserve">Use -1.0% of revenue in every forecast year.</t>
  </si>
  <si>
    <t xml:space="preserve">Dividend Payout Ratio</t>
  </si>
  <si>
    <t xml:space="preserve">%</t>
  </si>
  <si>
    <t xml:space="preserve">Use 60.0% in every forecast year.</t>
  </si>
  <si>
    <t xml:space="preserve">Other</t>
  </si>
  <si>
    <t xml:space="preserve">Tax Rate</t>
  </si>
  <si>
    <t xml:space="preserve">Use 21.0% in every forecast year.</t>
  </si>
  <si>
    <t xml:space="preserve">Debt Interest Rate</t>
  </si>
  <si>
    <t xml:space="preserve">Use 4.0% in every forecast year.</t>
  </si>
  <si>
    <t xml:space="preserve">Cash Interest Rate</t>
  </si>
  <si>
    <t xml:space="preserve">Use 1.0% in every forecast year.</t>
  </si>
  <si>
    <t xml:space="preserve">Forecast Assumptions</t>
  </si>
  <si>
    <t xml:space="preserve">This worksheet contains the completed forecast assumptions from Task 1. Use these values as inputs for the P&amp;L Forecast and link to them rather than retyping them.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</si>
  <si>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</si>
  <si>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</si>
  <si>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</si>
  <si>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</si>
  <si>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</si>
  <si>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Number of Units Sold</t>
  </si>
  <si>
    <t xml:space="preserve">#</t>
  </si>
  <si>
    <t xml:space="preserve">Average Sale Price</t>
  </si>
  <si>
    <t xml:space="preserve">Cost of Goods Sold (COGS)</t>
  </si>
  <si>
    <t xml:space="preserve">Operating Expenses (OpEx)</t>
  </si>
  <si>
    <t xml:space="preserve">Depreciation &amp; Amortization (D&amp;A)</t>
  </si>
  <si>
    <t xml:space="preserve">Tip: Check that percentages, dollar values, and unit counts use the correct number format before submitting your workbook.</t>
  </si>
  <si>
    <t xml:space="preserve">Financial Modeling Glossary</t>
  </si>
  <si>
    <t xml:space="preserve">Term</t>
  </si>
  <si>
    <t xml:space="preserve">Definition</t>
  </si>
  <si>
    <t xml:space="preserve">Spending on long-term assets such as equipment, property, or technology that supports the business over multiple periods.</t>
  </si>
  <si>
    <t xml:space="preserve">The direct costs associated with producing the goods or services sold by a business.</t>
  </si>
  <si>
    <t xml:space="preserve">Non-cash expenses that allocate the cost of tangible and intangible assets over their useful lives.</t>
  </si>
  <si>
    <t xml:space="preserve">The percentage of net profit distributed to shareholders as dividends.</t>
  </si>
  <si>
    <t xml:space="preserve">EBITDA</t>
  </si>
  <si>
    <t xml:space="preserve">Earnings before interest, taxes, depreciation, and amortization. It is commonly used as a measure of operating profitability before financing, tax, and non-cash D&amp;A expenses.</t>
  </si>
  <si>
    <t xml:space="preserve">EBIT</t>
  </si>
  <si>
    <t xml:space="preserve">Earnings before interest and taxes. It represents operating profit after depreciation and amortization.</t>
  </si>
  <si>
    <t xml:space="preserve">Net Working Capital (NWC)</t>
  </si>
  <si>
    <t xml:space="preserve">A measure of short-term operating assets and liabilities. Changes in NWC can either use or release cash.</t>
  </si>
  <si>
    <t xml:space="preserve">Ongoing costs of running the business that are not direct product costs, such as staff, occupancy, marketing, and administrative costs.</t>
  </si>
  <si>
    <t xml:space="preserve">Profit &amp; Loss Statement (P&amp;L)</t>
  </si>
  <si>
    <t xml:space="preserve">A financial statement that summarizes revenue, expenses, and profit or loss over a period of time.</t>
  </si>
  <si>
    <t xml:space="preserve">Working Capital</t>
  </si>
  <si>
    <t xml:space="preserve">The short-term resources needed to support day-to-day operations, including items such as receivables, inventory, and payables.</t>
  </si>
  <si>
    <t xml:space="preserve">P&amp;L Forecast</t>
  </si>
  <si>
    <t xml:space="preserve">Complete every light-blue cell. Link forecast inputs to the Forecast Assumptions worksheet, then build the P&amp;L calculations across FY2026E–FY2030E.</t>
  </si>
  <si>
    <t xml:space="preserve">P&amp;L Line</t>
  </si>
  <si>
    <t xml:space="preserve">Baked Goods Revenue</t>
  </si>
  <si>
    <t xml:space="preserve">Frozen Desserts Revenue</t>
  </si>
  <si>
    <t xml:space="preserve">Beverages Revenue</t>
  </si>
  <si>
    <t xml:space="preserve">Total Revenue</t>
  </si>
  <si>
    <t xml:space="preserve">Revenue Growth</t>
  </si>
  <si>
    <t xml:space="preserve">—</t>
  </si>
  <si>
    <t xml:space="preserve">Cost of Goods Sold</t>
  </si>
  <si>
    <t xml:space="preserve">Baked Goods COGS</t>
  </si>
  <si>
    <t xml:space="preserve">Frozen Desserts COGS</t>
  </si>
  <si>
    <t xml:space="preserve">Beverages COGS</t>
  </si>
  <si>
    <t xml:space="preserve">Total Cost of Goods Sold</t>
  </si>
  <si>
    <t xml:space="preserve">Gross Profit</t>
  </si>
  <si>
    <t xml:space="preserve">Gross Margin</t>
  </si>
  <si>
    <t xml:space="preserve">Operating Expenses</t>
  </si>
  <si>
    <t xml:space="preserve">Total Operating Expenses</t>
  </si>
  <si>
    <t xml:space="preserve">EBITDA Margin</t>
  </si>
  <si>
    <t xml:space="preserve">Profit After D&amp;A, Interest and Tax</t>
  </si>
  <si>
    <t xml:space="preserve">Depreciation &amp; Amortization</t>
  </si>
  <si>
    <t xml:space="preserve">Temporary Net Interest Expense</t>
  </si>
  <si>
    <t xml:space="preserve">Profit Before Tax</t>
  </si>
  <si>
    <t xml:space="preserve">Tax Expense</t>
  </si>
  <si>
    <t xml:space="preserve">Net Profit</t>
  </si>
  <si>
    <t xml:space="preserve">Temporary Net Interest Expense is provided for Task 2 so you can complete Profit Before Tax, Tax Expense, and Net Profit. In Task 3, you will replace this placeholder with interest calculated from the cash and debt forecast.</t>
  </si>
  <si>
    <t xml:space="preserve">Modeling key</t>
  </si>
  <si>
    <t xml:space="preserve">Light-blue cells</t>
  </si>
  <si>
    <t xml:space="preserve">Complete these cells.</t>
  </si>
  <si>
    <t xml:space="preserve">Green text</t>
  </si>
  <si>
    <t xml:space="preserve">Use a formula that links to another worksheet.</t>
  </si>
  <si>
    <t xml:space="preserve">Black text</t>
  </si>
  <si>
    <t xml:space="preserve">Use a formula calculated within the P&amp;L.</t>
  </si>
  <si>
    <t xml:space="preserve">Blue text / yellow fill</t>
  </si>
  <si>
    <t xml:space="preserve">Provided task input; use it as given in Task 2.</t>
  </si>
  <si>
    <t xml:space="preserve">Tip: Link assumptions rather than retyping them. Check that your formulas extend across all five forecast years. In this P&amp;L, expense lines are shown as positive amounts and subtracted when calculating profit subtotals.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</si>
</sst>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0.00"/>
    <numFmt numFmtId="167" formatCode="\$#,##0"/>
    <numFmt numFmtId="168" formatCode="0.00%"/>
    <numFmt numFmtId="169" formatCode="0.0%"/>
    <numFmt numFmtId="170" formatCode="\$#,##0.00"/>
    <numFmt numFmtId="171" formatCode="\$#,##0;[RED]&quot;($&quot;#,##0\);\-"/>
    <numFmt numFmtId="172" formatCode="0.0%;[RED]\(0.0%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 Display"/>
      <family val="0"/>
      <charset val="1"/>
    </font>
    <font>
      <b val="true"/>
      <sz val="12"/>
      <color rgb="FF17365D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9"/>
      <color rgb="FF666666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AF4FB"/>
        <bgColor rgb="FFF3F4F6"/>
      </patternFill>
    </fill>
    <fill>
      <patternFill patternType="solid">
        <fgColor rgb="FF1F4E78"/>
        <bgColor rgb="FF17365D"/>
      </patternFill>
    </fill>
    <fill>
      <patternFill patternType="solid">
        <fgColor rgb="FFF3F4F6"/>
        <bgColor rgb="FFEAF4FB"/>
      </patternFill>
    </fill>
    <fill>
      <patternFill patternType="solid">
        <fgColor rgb="FFD9EAF7"/>
        <bgColor rgb="FFEAF4FB"/>
      </patternFill>
    </fill>
    <fill>
      <patternFill patternType="solid">
        <fgColor rgb="FFFFF2CC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C2CC"/>
      </bottom>
      <diagonal/>
    </border>
    <border diagonalUp="false" diagonalDown="false">
      <left/>
      <right/>
      <top style="thin">
        <color rgb="FFB8C2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2CC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F3F4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50"/>
    <col collapsed="false" customWidth="true" hidden="false" outlineLevel="0" max="6" min="6" style="0" width="4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4" customFormat="false" ht="61.5" hidden="false" customHeight="true" outlineLevel="0" collapsed="false">
      <c r="B4" s="3" t="s">
        <v>2</v>
      </c>
      <c r="C4" s="3"/>
      <c r="D4" s="3"/>
      <c r="E4" s="3"/>
    </row>
    <row r="6" customFormat="false" ht="15" hidden="false" customHeight="false" outlineLevel="0" collapsed="false">
      <c r="B6" s="4" t="s">
        <v>3</v>
      </c>
      <c r="C6" s="4"/>
      <c r="D6" s="4"/>
      <c r="E6" s="4"/>
    </row>
    <row r="7" customFormat="false" ht="28.35" hidden="false" customHeight="false" outlineLevel="0" collapsed="false">
      <c r="B7" s="5" t="s">
        <v>4</v>
      </c>
      <c r="C7" s="5" t="s">
        <v>5</v>
      </c>
      <c r="D7" s="5" t="s">
        <v>6</v>
      </c>
      <c r="E7" s="5" t="s">
        <v>7</v>
      </c>
    </row>
    <row r="8" customFormat="false" ht="51.75" hidden="false" customHeight="true" outlineLevel="0" collapsed="false">
      <c r="B8" s="6" t="s">
        <v>8</v>
      </c>
      <c r="C8" s="7" t="n">
        <v>100000</v>
      </c>
      <c r="D8" s="8" t="n">
        <v>4</v>
      </c>
      <c r="E8" s="6" t="s">
        <v>9</v>
      </c>
    </row>
    <row r="9" customFormat="false" ht="51.75" hidden="false" customHeight="true" outlineLevel="0" collapsed="false">
      <c r="B9" s="6" t="s">
        <v>10</v>
      </c>
      <c r="C9" s="7" t="n">
        <v>60000</v>
      </c>
      <c r="D9" s="8" t="n">
        <v>3</v>
      </c>
      <c r="E9" s="6" t="s">
        <v>9</v>
      </c>
    </row>
    <row r="10" customFormat="false" ht="51.75" hidden="false" customHeight="true" outlineLevel="0" collapsed="false">
      <c r="B10" s="6" t="s">
        <v>11</v>
      </c>
      <c r="C10" s="7" t="n">
        <v>50000</v>
      </c>
      <c r="D10" s="8" t="n">
        <v>2.5</v>
      </c>
      <c r="E10" s="6" t="s">
        <v>9</v>
      </c>
    </row>
    <row r="12" customFormat="false" ht="15" hidden="false" customHeight="false" outlineLevel="0" collapsed="false">
      <c r="B12" s="4" t="s">
        <v>12</v>
      </c>
      <c r="C12" s="4"/>
      <c r="D12" s="4"/>
      <c r="E12" s="4"/>
    </row>
    <row r="13" customFormat="false" ht="28.35" hidden="false" customHeight="false" outlineLevel="0" collapsed="false">
      <c r="B13" s="5" t="s">
        <v>13</v>
      </c>
      <c r="C13" s="5" t="s">
        <v>14</v>
      </c>
      <c r="D13" s="5" t="s">
        <v>15</v>
      </c>
      <c r="E13" s="5" t="s">
        <v>7</v>
      </c>
    </row>
    <row r="14" customFormat="false" ht="33.75" hidden="false" customHeight="true" outlineLevel="0" collapsed="false">
      <c r="B14" s="6" t="s">
        <v>16</v>
      </c>
      <c r="C14" s="8" t="n">
        <v>1.5</v>
      </c>
      <c r="D14" s="6" t="s">
        <v>17</v>
      </c>
      <c r="E14" s="6" t="s">
        <v>18</v>
      </c>
    </row>
    <row r="15" customFormat="false" ht="33.75" hidden="false" customHeight="true" outlineLevel="0" collapsed="false">
      <c r="B15" s="6" t="s">
        <v>19</v>
      </c>
      <c r="C15" s="8" t="n">
        <v>0.8</v>
      </c>
      <c r="D15" s="6" t="s">
        <v>17</v>
      </c>
      <c r="E15" s="6" t="s">
        <v>18</v>
      </c>
    </row>
    <row r="16" customFormat="false" ht="33.75" hidden="false" customHeight="true" outlineLevel="0" collapsed="false">
      <c r="B16" s="6" t="s">
        <v>20</v>
      </c>
      <c r="C16" s="8" t="n">
        <v>1.1</v>
      </c>
      <c r="D16" s="6" t="s">
        <v>17</v>
      </c>
      <c r="E16" s="6" t="s">
        <v>18</v>
      </c>
    </row>
    <row r="17" customFormat="false" ht="33.75" hidden="false" customHeight="true" outlineLevel="0" collapsed="false">
      <c r="B17" s="6" t="s">
        <v>21</v>
      </c>
      <c r="C17" s="9" t="n">
        <v>150000</v>
      </c>
      <c r="D17" s="6" t="s">
        <v>22</v>
      </c>
      <c r="E17" s="6" t="s">
        <v>23</v>
      </c>
    </row>
    <row r="18" customFormat="false" ht="33.75" hidden="false" customHeight="true" outlineLevel="0" collapsed="false">
      <c r="B18" s="6" t="s">
        <v>24</v>
      </c>
      <c r="C18" s="9" t="n">
        <v>60000</v>
      </c>
      <c r="D18" s="6" t="s">
        <v>22</v>
      </c>
      <c r="E18" s="6" t="s">
        <v>25</v>
      </c>
    </row>
    <row r="19" customFormat="false" ht="33.75" hidden="false" customHeight="true" outlineLevel="0" collapsed="false">
      <c r="B19" s="6" t="s">
        <v>26</v>
      </c>
      <c r="C19" s="9" t="n">
        <v>10000</v>
      </c>
      <c r="D19" s="6" t="s">
        <v>22</v>
      </c>
      <c r="E19" s="6" t="s">
        <v>23</v>
      </c>
    </row>
    <row r="20" customFormat="false" ht="33.75" hidden="false" customHeight="true" outlineLevel="0" collapsed="false">
      <c r="B20" s="6" t="s">
        <v>27</v>
      </c>
      <c r="C20" s="9" t="n">
        <v>5000</v>
      </c>
      <c r="D20" s="6" t="s">
        <v>22</v>
      </c>
      <c r="E20" s="6" t="s">
        <v>23</v>
      </c>
    </row>
    <row r="21" customFormat="false" ht="48" hidden="false" customHeight="true" outlineLevel="0" collapsed="false">
      <c r="B21" s="6" t="s">
        <v>28</v>
      </c>
      <c r="C21" s="10" t="n">
        <v>-0.05</v>
      </c>
      <c r="D21" s="6" t="s">
        <v>29</v>
      </c>
      <c r="E21" s="6" t="s">
        <v>30</v>
      </c>
    </row>
    <row r="23" customFormat="false" ht="15" hidden="false" customHeight="false" outlineLevel="0" collapsed="false">
      <c r="B23" s="4" t="s">
        <v>31</v>
      </c>
      <c r="C23" s="4"/>
      <c r="D23" s="4"/>
      <c r="E23" s="4"/>
    </row>
    <row r="24" customFormat="false" ht="15" hidden="false" customHeight="false" outlineLevel="0" collapsed="false">
      <c r="B24" s="5" t="s">
        <v>13</v>
      </c>
      <c r="C24" s="5" t="s">
        <v>32</v>
      </c>
      <c r="D24" s="5" t="s">
        <v>15</v>
      </c>
      <c r="E24" s="5" t="s">
        <v>7</v>
      </c>
    </row>
    <row r="25" customFormat="false" ht="37.5" hidden="false" customHeight="true" outlineLevel="0" collapsed="false">
      <c r="B25" s="6" t="s">
        <v>33</v>
      </c>
      <c r="C25" s="6" t="s">
        <v>34</v>
      </c>
      <c r="D25" s="6" t="s">
        <v>29</v>
      </c>
      <c r="E25" s="6" t="s">
        <v>35</v>
      </c>
    </row>
    <row r="26" customFormat="false" ht="37.5" hidden="false" customHeight="true" outlineLevel="0" collapsed="false">
      <c r="B26" s="6" t="s">
        <v>36</v>
      </c>
      <c r="C26" s="11" t="n">
        <v>-0.01</v>
      </c>
      <c r="D26" s="6" t="s">
        <v>29</v>
      </c>
      <c r="E26" s="6" t="s">
        <v>37</v>
      </c>
    </row>
    <row r="27" customFormat="false" ht="37.5" hidden="false" customHeight="true" outlineLevel="0" collapsed="false">
      <c r="B27" s="6" t="s">
        <v>38</v>
      </c>
      <c r="C27" s="11" t="n">
        <v>0.6</v>
      </c>
      <c r="D27" s="6" t="s">
        <v>39</v>
      </c>
      <c r="E27" s="6" t="s">
        <v>40</v>
      </c>
    </row>
    <row r="29" customFormat="false" ht="15" hidden="false" customHeight="false" outlineLevel="0" collapsed="false">
      <c r="B29" s="4" t="s">
        <v>41</v>
      </c>
      <c r="C29" s="4"/>
      <c r="D29" s="4"/>
      <c r="E29" s="4"/>
    </row>
    <row r="30" customFormat="false" ht="15" hidden="false" customHeight="false" outlineLevel="0" collapsed="false">
      <c r="B30" s="5" t="s">
        <v>13</v>
      </c>
      <c r="C30" s="5" t="s">
        <v>32</v>
      </c>
      <c r="D30" s="5" t="s">
        <v>15</v>
      </c>
      <c r="E30" s="5" t="s">
        <v>7</v>
      </c>
    </row>
    <row r="31" customFormat="false" ht="30" hidden="false" customHeight="true" outlineLevel="0" collapsed="false">
      <c r="B31" s="6" t="s">
        <v>42</v>
      </c>
      <c r="C31" s="11" t="n">
        <v>0.21</v>
      </c>
      <c r="D31" s="6" t="s">
        <v>39</v>
      </c>
      <c r="E31" s="6" t="s">
        <v>43</v>
      </c>
    </row>
    <row r="32" customFormat="false" ht="30" hidden="false" customHeight="true" outlineLevel="0" collapsed="false">
      <c r="B32" s="6" t="s">
        <v>44</v>
      </c>
      <c r="C32" s="11" t="n">
        <v>0.04</v>
      </c>
      <c r="D32" s="6" t="s">
        <v>39</v>
      </c>
      <c r="E32" s="6" t="s">
        <v>45</v>
      </c>
    </row>
    <row r="33" customFormat="false" ht="30" hidden="false" customHeight="true" outlineLevel="0" collapsed="false">
      <c r="B33" s="6" t="s">
        <v>46</v>
      </c>
      <c r="C33" s="11" t="n">
        <v>0.01</v>
      </c>
      <c r="D33" s="6" t="s">
        <v>39</v>
      </c>
      <c r="E33" s="6" t="s">
        <v>47</v>
      </c>
    </row>
  </sheetData>
  <mergeCells count="7">
    <mergeCell ref="B1:E1"/>
    <mergeCell ref="B3:E3"/>
    <mergeCell ref="B4:E4"/>
    <mergeCell ref="B6:E6"/>
    <mergeCell ref="B12:E12"/>
    <mergeCell ref="B23:E23"/>
    <mergeCell ref="B29:E29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Excel in Business | Forecast Assumptions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5"/>
    <col collapsed="false" customWidth="true" hidden="false" outlineLevel="0" max="9" min="9" style="0" width="3"/>
  </cols>
  <sheetData>
    <row r="1" customFormat="false" ht="30" hidden="false" customHeight="true" outlineLevel="0" collapsed="false">
      <c r="B1" s="12" t="s">
        <v>48</v>
      </c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B2" s="13" t="s">
        <v>49</v>
      </c>
      <c r="C2" s="13"/>
      <c r="D2" s="13"/>
      <c r="E2" s="13"/>
      <c r="F2" s="13"/>
      <c r="G2" s="13"/>
      <c r="H2" s="13"/>
    </row>
    <row r="4" customFormat="false" ht="24" hidden="false" customHeight="true" outlineLevel="0" collapsed="false">
      <c r="B4" s="14" t="s">
        <v>13</v>
      </c>
      <c r="C4" s="14" t="s">
        <v>15</v>
      </c>
      <c r="D4" s="14" t="s">
        <v>50</v>
      </c>
      <c r="E4" s="14" t="s">
        <v>51</v>
      </c>
      <c r="F4" s="14" t="s">
        <v>52</v>
      </c>
      <c r="G4" s="14" t="s">
        <v>53</v>
      </c>
      <c r="H4" s="14" t="s">
        <v>54</v>
      </c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21" hidden="false" customHeight="true" outlineLevel="0" collapsed="false">
      <c r="B7" s="15" t="s">
        <v>8</v>
      </c>
      <c r="C7" s="15"/>
      <c r="D7" s="15"/>
      <c r="E7" s="15"/>
      <c r="F7" s="15"/>
      <c r="G7" s="15"/>
      <c r="H7" s="15"/>
    </row>
    <row r="8" customFormat="false" ht="21" hidden="false" customHeight="true" outlineLevel="0" collapsed="false">
      <c r="B8" s="16" t="s">
        <v>55</v>
      </c>
      <c r="C8" s="17" t="s">
        <v>56</v>
      </c>
      <c r="D8" s="18" t="n">
        <v>100000</v>
      </c>
      <c r="E8" s="19" t="n">
        <f aca="false">D8*(1+10%)</f>
        <v>110000</v>
      </c>
      <c r="F8" s="19" t="n">
        <f aca="false">E8*(1+9%)</f>
        <v>119900</v>
      </c>
      <c r="G8" s="19" t="n">
        <f aca="false">F8*(1+8%)</f>
        <v>129492</v>
      </c>
      <c r="H8" s="19" t="n">
        <f aca="false">G8*(1+7%)</f>
        <v>138556.44</v>
      </c>
    </row>
    <row r="9" customFormat="false" ht="21" hidden="false" customHeight="true" outlineLevel="0" collapsed="false">
      <c r="B9" s="16" t="s">
        <v>57</v>
      </c>
      <c r="C9" s="17" t="s">
        <v>22</v>
      </c>
      <c r="D9" s="20" t="n">
        <v>4</v>
      </c>
      <c r="E9" s="21" t="n">
        <f aca="false">D9*(1+4%)</f>
        <v>4.16</v>
      </c>
      <c r="F9" s="21" t="n">
        <f aca="false">E9*(1+4%)</f>
        <v>4.3264</v>
      </c>
      <c r="G9" s="21" t="n">
        <f aca="false">F9*(1+4%)</f>
        <v>4.499456</v>
      </c>
      <c r="H9" s="21" t="n">
        <f aca="false">G9*(1+4%)</f>
        <v>4.67943424</v>
      </c>
    </row>
    <row r="10" customFormat="false" ht="21" hidden="false" customHeight="true" outlineLevel="0" collapsed="false">
      <c r="B10" s="15" t="s">
        <v>10</v>
      </c>
      <c r="C10" s="15"/>
      <c r="D10" s="15"/>
      <c r="E10" s="15"/>
      <c r="F10" s="15"/>
      <c r="G10" s="15"/>
      <c r="H10" s="15"/>
    </row>
    <row r="11" customFormat="false" ht="21" hidden="false" customHeight="true" outlineLevel="0" collapsed="false">
      <c r="B11" s="16" t="s">
        <v>55</v>
      </c>
      <c r="C11" s="17" t="s">
        <v>56</v>
      </c>
      <c r="D11" s="18" t="n">
        <v>60000</v>
      </c>
      <c r="E11" s="19" t="n">
        <f aca="false">D11*(1+10%)</f>
        <v>66000</v>
      </c>
      <c r="F11" s="19" t="n">
        <f aca="false">E11*(1+9%)</f>
        <v>71940</v>
      </c>
      <c r="G11" s="19" t="n">
        <f aca="false">F11*(1+8%)</f>
        <v>77695.2</v>
      </c>
      <c r="H11" s="19" t="n">
        <f aca="false">G11*(1+7%)</f>
        <v>83133.864</v>
      </c>
    </row>
    <row r="12" customFormat="false" ht="21" hidden="false" customHeight="true" outlineLevel="0" collapsed="false">
      <c r="B12" s="16" t="s">
        <v>57</v>
      </c>
      <c r="C12" s="17" t="s">
        <v>22</v>
      </c>
      <c r="D12" s="20" t="n">
        <v>3</v>
      </c>
      <c r="E12" s="21" t="n">
        <f aca="false">D12*(1+4%)</f>
        <v>3.12</v>
      </c>
      <c r="F12" s="21" t="n">
        <f aca="false">E12*(1+4%)</f>
        <v>3.2448</v>
      </c>
      <c r="G12" s="21" t="n">
        <f aca="false">F12*(1+4%)</f>
        <v>3.374592</v>
      </c>
      <c r="H12" s="21" t="n">
        <f aca="false">G12*(1+4%)</f>
        <v>3.50957568</v>
      </c>
    </row>
    <row r="13" customFormat="false" ht="21" hidden="false" customHeight="true" outlineLevel="0" collapsed="false">
      <c r="B13" s="15" t="s">
        <v>11</v>
      </c>
      <c r="C13" s="15"/>
      <c r="D13" s="15"/>
      <c r="E13" s="15"/>
      <c r="F13" s="15"/>
      <c r="G13" s="15"/>
      <c r="H13" s="15"/>
    </row>
    <row r="14" customFormat="false" ht="21" hidden="false" customHeight="true" outlineLevel="0" collapsed="false">
      <c r="B14" s="16" t="s">
        <v>55</v>
      </c>
      <c r="C14" s="17" t="s">
        <v>56</v>
      </c>
      <c r="D14" s="18" t="n">
        <v>50000</v>
      </c>
      <c r="E14" s="19" t="n">
        <f aca="false">D14*(1+10%)</f>
        <v>55000</v>
      </c>
      <c r="F14" s="19" t="n">
        <f aca="false">E14*(1+9%)</f>
        <v>59950</v>
      </c>
      <c r="G14" s="19" t="n">
        <f aca="false">F14*(1+8%)</f>
        <v>64746</v>
      </c>
      <c r="H14" s="19" t="n">
        <f aca="false">G14*(1+7%)</f>
        <v>69278.22</v>
      </c>
    </row>
    <row r="15" customFormat="false" ht="21" hidden="false" customHeight="true" outlineLevel="0" collapsed="false">
      <c r="B15" s="16" t="s">
        <v>57</v>
      </c>
      <c r="C15" s="17" t="s">
        <v>22</v>
      </c>
      <c r="D15" s="20" t="n">
        <v>2.5</v>
      </c>
      <c r="E15" s="21" t="n">
        <f aca="false">D15*(1+4%)</f>
        <v>2.6</v>
      </c>
      <c r="F15" s="21" t="n">
        <f aca="false">E15*(1+4%)</f>
        <v>2.704</v>
      </c>
      <c r="G15" s="21" t="n">
        <f aca="false">F15*(1+4%)</f>
        <v>2.81216</v>
      </c>
      <c r="H15" s="21" t="n">
        <f aca="false">G15*(1+4%)</f>
        <v>2.9246464</v>
      </c>
    </row>
    <row r="17" customFormat="false" ht="15" hidden="false" customHeight="false" outlineLevel="0" collapsed="false">
      <c r="B17" s="4" t="s">
        <v>12</v>
      </c>
      <c r="C17" s="4"/>
      <c r="D17" s="4"/>
      <c r="E17" s="4"/>
      <c r="F17" s="4"/>
      <c r="G17" s="4"/>
      <c r="H17" s="4"/>
    </row>
    <row r="18" customFormat="false" ht="21" hidden="false" customHeight="true" outlineLevel="0" collapsed="false">
      <c r="B18" s="15" t="s">
        <v>58</v>
      </c>
      <c r="C18" s="15"/>
      <c r="D18" s="15"/>
      <c r="E18" s="15"/>
      <c r="F18" s="15"/>
      <c r="G18" s="15"/>
      <c r="H18" s="15"/>
    </row>
    <row r="19" customFormat="false" ht="21" hidden="false" customHeight="true" outlineLevel="0" collapsed="false">
      <c r="B19" s="16" t="s">
        <v>16</v>
      </c>
      <c r="C19" s="17" t="s">
        <v>17</v>
      </c>
      <c r="D19" s="22" t="n">
        <v>1.5</v>
      </c>
      <c r="E19" s="23" t="n">
        <f aca="false">D19*(1+0.02)</f>
        <v>1.53</v>
      </c>
      <c r="F19" s="23" t="n">
        <f aca="false">E19*(1+0.02)</f>
        <v>1.5606</v>
      </c>
      <c r="G19" s="23" t="n">
        <f aca="false">F19*(1+0.02)</f>
        <v>1.591812</v>
      </c>
      <c r="H19" s="23" t="n">
        <f aca="false">G19*(1+0.02)</f>
        <v>1.62364824</v>
      </c>
    </row>
    <row r="20" customFormat="false" ht="21" hidden="false" customHeight="true" outlineLevel="0" collapsed="false">
      <c r="B20" s="16" t="s">
        <v>19</v>
      </c>
      <c r="C20" s="17" t="s">
        <v>17</v>
      </c>
      <c r="D20" s="22" t="n">
        <v>0.8</v>
      </c>
      <c r="E20" s="23" t="n">
        <f aca="false">D20*(1+0.02)</f>
        <v>0.816</v>
      </c>
      <c r="F20" s="23" t="n">
        <f aca="false">E20*(1+0.02)</f>
        <v>0.83232</v>
      </c>
      <c r="G20" s="23" t="n">
        <f aca="false">F20*(1+0.02)</f>
        <v>0.8489664</v>
      </c>
      <c r="H20" s="23" t="n">
        <f aca="false">G20*(1+0.02)</f>
        <v>0.865945728</v>
      </c>
    </row>
    <row r="21" customFormat="false" ht="21" hidden="false" customHeight="true" outlineLevel="0" collapsed="false">
      <c r="B21" s="16" t="s">
        <v>20</v>
      </c>
      <c r="C21" s="17" t="s">
        <v>17</v>
      </c>
      <c r="D21" s="22" t="n">
        <v>1.1</v>
      </c>
      <c r="E21" s="23" t="n">
        <f aca="false">D21*(1+0.02)</f>
        <v>1.122</v>
      </c>
      <c r="F21" s="23" t="n">
        <f aca="false">E21*(1+0.02)</f>
        <v>1.14444</v>
      </c>
      <c r="G21" s="23" t="n">
        <f aca="false">F21*(1+0.02)</f>
        <v>1.1673288</v>
      </c>
      <c r="H21" s="23" t="n">
        <f aca="false">G21*(1+0.02)</f>
        <v>1.190675376</v>
      </c>
    </row>
    <row r="22" customFormat="false" ht="21" hidden="false" customHeight="true" outlineLevel="0" collapsed="false">
      <c r="B22" s="15" t="s">
        <v>59</v>
      </c>
      <c r="C22" s="15"/>
      <c r="D22" s="15"/>
      <c r="E22" s="15"/>
      <c r="F22" s="15"/>
      <c r="G22" s="15"/>
      <c r="H22" s="15"/>
    </row>
    <row r="23" customFormat="false" ht="21" hidden="false" customHeight="true" outlineLevel="0" collapsed="false">
      <c r="B23" s="16" t="s">
        <v>21</v>
      </c>
      <c r="C23" s="17" t="s">
        <v>22</v>
      </c>
      <c r="D23" s="20" t="n">
        <v>150000</v>
      </c>
      <c r="E23" s="21" t="n">
        <f aca="false">D23*(1+0.05)</f>
        <v>157500</v>
      </c>
      <c r="F23" s="21" t="n">
        <f aca="false">E23*(1+0.05)</f>
        <v>165375</v>
      </c>
      <c r="G23" s="21" t="n">
        <f aca="false">F23*(1+0.05)</f>
        <v>173643.75</v>
      </c>
      <c r="H23" s="21" t="n">
        <f aca="false">G23*(1+0.05)</f>
        <v>182325.9375</v>
      </c>
    </row>
    <row r="24" customFormat="false" ht="21" hidden="false" customHeight="true" outlineLevel="0" collapsed="false">
      <c r="B24" s="16" t="s">
        <v>24</v>
      </c>
      <c r="C24" s="17" t="s">
        <v>22</v>
      </c>
      <c r="D24" s="20" t="n">
        <v>60000</v>
      </c>
      <c r="E24" s="21" t="n">
        <f aca="false">D24*(1+0.03)</f>
        <v>61800</v>
      </c>
      <c r="F24" s="21" t="n">
        <f aca="false">E24*(1+0.03)</f>
        <v>63654</v>
      </c>
      <c r="G24" s="21" t="n">
        <f aca="false">F24*(1+0.03)</f>
        <v>65563.62</v>
      </c>
      <c r="H24" s="21" t="n">
        <f aca="false">G24*(1+0.03)</f>
        <v>67530.5286</v>
      </c>
    </row>
    <row r="25" customFormat="false" ht="21" hidden="false" customHeight="true" outlineLevel="0" collapsed="false">
      <c r="B25" s="16" t="s">
        <v>26</v>
      </c>
      <c r="C25" s="17" t="s">
        <v>22</v>
      </c>
      <c r="D25" s="20" t="n">
        <v>10000</v>
      </c>
      <c r="E25" s="21" t="n">
        <f aca="false">D25*(1+0.05)</f>
        <v>10500</v>
      </c>
      <c r="F25" s="21" t="n">
        <f aca="false">E25*(1+0.05)</f>
        <v>11025</v>
      </c>
      <c r="G25" s="21" t="n">
        <f aca="false">F25*(1+0.05)</f>
        <v>11576.25</v>
      </c>
      <c r="H25" s="21" t="n">
        <f aca="false">G25*(1+0.05)</f>
        <v>12155.0625</v>
      </c>
    </row>
    <row r="26" customFormat="false" ht="21" hidden="false" customHeight="true" outlineLevel="0" collapsed="false">
      <c r="B26" s="16" t="s">
        <v>27</v>
      </c>
      <c r="C26" s="17" t="s">
        <v>22</v>
      </c>
      <c r="D26" s="20" t="n">
        <v>5000</v>
      </c>
      <c r="E26" s="21" t="n">
        <f aca="false">D26*(1+0.05)</f>
        <v>5250</v>
      </c>
      <c r="F26" s="21" t="n">
        <f aca="false">E26*(1+0.05)</f>
        <v>5512.5</v>
      </c>
      <c r="G26" s="21" t="n">
        <f aca="false">F26*(1+0.05)</f>
        <v>5788.125</v>
      </c>
      <c r="H26" s="21" t="n">
        <f aca="false">G26*(1+0.05)</f>
        <v>6077.53125</v>
      </c>
    </row>
    <row r="27" customFormat="false" ht="21" hidden="false" customHeight="true" outlineLevel="0" collapsed="false">
      <c r="B27" s="15" t="s">
        <v>60</v>
      </c>
      <c r="C27" s="15"/>
      <c r="D27" s="15"/>
      <c r="E27" s="15"/>
      <c r="F27" s="15"/>
      <c r="G27" s="15"/>
      <c r="H27" s="15"/>
    </row>
    <row r="28" customFormat="false" ht="21" hidden="false" customHeight="true" outlineLevel="0" collapsed="false">
      <c r="B28" s="16" t="s">
        <v>28</v>
      </c>
      <c r="C28" s="17" t="s">
        <v>29</v>
      </c>
      <c r="D28" s="24" t="n">
        <v>-0.05</v>
      </c>
      <c r="E28" s="25" t="n">
        <f aca="false">D28+0.0025</f>
        <v>-0.0475</v>
      </c>
      <c r="F28" s="25" t="n">
        <f aca="false">E28+0.0025</f>
        <v>-0.045</v>
      </c>
      <c r="G28" s="25" t="n">
        <f aca="false">F28+0.0025</f>
        <v>-0.0425</v>
      </c>
      <c r="H28" s="25" t="n">
        <f aca="false">G28+0.0025</f>
        <v>-0.04</v>
      </c>
    </row>
    <row r="30" customFormat="false" ht="15" hidden="false" customHeight="false" outlineLevel="0" collapsed="false">
      <c r="B30" s="4" t="s">
        <v>31</v>
      </c>
      <c r="C30" s="4"/>
      <c r="D30" s="4"/>
      <c r="E30" s="4"/>
      <c r="F30" s="4"/>
      <c r="G30" s="4"/>
      <c r="H30" s="4"/>
    </row>
    <row r="31" customFormat="false" ht="21" hidden="false" customHeight="true" outlineLevel="0" collapsed="false">
      <c r="B31" s="16" t="s">
        <v>33</v>
      </c>
      <c r="C31" s="17" t="s">
        <v>29</v>
      </c>
      <c r="D31" s="25" t="n">
        <f aca="false">D28</f>
        <v>-0.05</v>
      </c>
      <c r="E31" s="25" t="n">
        <f aca="false">E28</f>
        <v>-0.0475</v>
      </c>
      <c r="F31" s="25" t="n">
        <f aca="false">F28</f>
        <v>-0.045</v>
      </c>
      <c r="G31" s="25" t="n">
        <f aca="false">G28</f>
        <v>-0.0425</v>
      </c>
      <c r="H31" s="25" t="n">
        <f aca="false">H28</f>
        <v>-0.04</v>
      </c>
    </row>
    <row r="32" customFormat="false" ht="21" hidden="false" customHeight="true" outlineLevel="0" collapsed="false">
      <c r="B32" s="16" t="s">
        <v>36</v>
      </c>
      <c r="C32" s="17" t="s">
        <v>29</v>
      </c>
      <c r="D32" s="24" t="n">
        <v>-0.01</v>
      </c>
      <c r="E32" s="24" t="n">
        <v>-0.01</v>
      </c>
      <c r="F32" s="24" t="n">
        <v>-0.01</v>
      </c>
      <c r="G32" s="24" t="n">
        <v>-0.01</v>
      </c>
      <c r="H32" s="24" t="n">
        <v>-0.01</v>
      </c>
    </row>
    <row r="33" customFormat="false" ht="21" hidden="false" customHeight="true" outlineLevel="0" collapsed="false">
      <c r="B33" s="16" t="s">
        <v>38</v>
      </c>
      <c r="C33" s="17" t="s">
        <v>39</v>
      </c>
      <c r="D33" s="24" t="n">
        <v>0.6</v>
      </c>
      <c r="E33" s="24" t="n">
        <v>0.6</v>
      </c>
      <c r="F33" s="24" t="n">
        <v>0.6</v>
      </c>
      <c r="G33" s="24" t="n">
        <v>0.6</v>
      </c>
      <c r="H33" s="24" t="n">
        <v>0.6</v>
      </c>
    </row>
    <row r="35" customFormat="false" ht="15" hidden="false" customHeight="false" outlineLevel="0" collapsed="false">
      <c r="B35" s="4" t="s">
        <v>41</v>
      </c>
      <c r="C35" s="4"/>
      <c r="D35" s="4"/>
      <c r="E35" s="4"/>
      <c r="F35" s="4"/>
      <c r="G35" s="4"/>
      <c r="H35" s="4"/>
    </row>
    <row r="36" customFormat="false" ht="21" hidden="false" customHeight="true" outlineLevel="0" collapsed="false">
      <c r="B36" s="16" t="s">
        <v>42</v>
      </c>
      <c r="C36" s="17" t="s">
        <v>39</v>
      </c>
      <c r="D36" s="24" t="n">
        <v>0.21</v>
      </c>
      <c r="E36" s="24" t="n">
        <v>0.21</v>
      </c>
      <c r="F36" s="24" t="n">
        <v>0.21</v>
      </c>
      <c r="G36" s="24" t="n">
        <v>0.21</v>
      </c>
      <c r="H36" s="24" t="n">
        <v>0.21</v>
      </c>
    </row>
    <row r="37" customFormat="false" ht="21" hidden="false" customHeight="true" outlineLevel="0" collapsed="false">
      <c r="B37" s="16" t="s">
        <v>44</v>
      </c>
      <c r="C37" s="17" t="s">
        <v>39</v>
      </c>
      <c r="D37" s="24" t="n">
        <v>0.04</v>
      </c>
      <c r="E37" s="24" t="n">
        <v>0.04</v>
      </c>
      <c r="F37" s="24" t="n">
        <v>0.04</v>
      </c>
      <c r="G37" s="24" t="n">
        <v>0.04</v>
      </c>
      <c r="H37" s="24" t="n">
        <v>0.04</v>
      </c>
    </row>
    <row r="38" customFormat="false" ht="21" hidden="false" customHeight="true" outlineLevel="0" collapsed="false">
      <c r="B38" s="16" t="s">
        <v>46</v>
      </c>
      <c r="C38" s="17" t="s">
        <v>39</v>
      </c>
      <c r="D38" s="24" t="n">
        <v>0.01</v>
      </c>
      <c r="E38" s="24" t="n">
        <v>0.01</v>
      </c>
      <c r="F38" s="24" t="n">
        <v>0.01</v>
      </c>
      <c r="G38" s="24" t="n">
        <v>0.01</v>
      </c>
      <c r="H38" s="24" t="n">
        <v>0.01</v>
      </c>
    </row>
    <row r="40" customFormat="false" ht="15" hidden="false" customHeight="true" outlineLevel="0" collapsed="false">
      <c r="B40" s="13" t="s">
        <v>61</v>
      </c>
      <c r="C40" s="13"/>
      <c r="D40" s="13"/>
      <c r="E40" s="13"/>
      <c r="F40" s="13"/>
      <c r="G40" s="13"/>
      <c r="H40" s="13"/>
    </row>
  </sheetData>
  <mergeCells count="13">
    <mergeCell ref="B1:H1"/>
    <mergeCell ref="B2:H2"/>
    <mergeCell ref="B6:H6"/>
    <mergeCell ref="B7:H7"/>
    <mergeCell ref="B10:H10"/>
    <mergeCell ref="B13:H13"/>
    <mergeCell ref="B17:H17"/>
    <mergeCell ref="B18:H18"/>
    <mergeCell ref="B22:H22"/>
    <mergeCell ref="B27:H27"/>
    <mergeCell ref="B30:H30"/>
    <mergeCell ref="B35:H35"/>
    <mergeCell ref="B40:H40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Excel in Business | Forecast Assumptions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5"/>
  </cols>
  <sheetData>
    <row r="1" customFormat="false" ht="30" hidden="false" customHeight="true" outlineLevel="0" collapsed="false">
      <c r="B1" s="12" t="s">
        <v>62</v>
      </c>
      <c r="C1" s="12"/>
    </row>
    <row r="3" customFormat="false" ht="15" hidden="false" customHeight="false" outlineLevel="0" collapsed="false">
      <c r="B3" s="26" t="s">
        <v>63</v>
      </c>
      <c r="C3" s="26" t="s">
        <v>64</v>
      </c>
    </row>
    <row r="4" customFormat="false" ht="48" hidden="false" customHeight="true" outlineLevel="0" collapsed="false">
      <c r="B4" s="27" t="s">
        <v>33</v>
      </c>
      <c r="C4" s="6" t="s">
        <v>65</v>
      </c>
    </row>
    <row r="5" customFormat="false" ht="48" hidden="false" customHeight="true" outlineLevel="0" collapsed="false">
      <c r="B5" s="27" t="s">
        <v>58</v>
      </c>
      <c r="C5" s="6" t="s">
        <v>66</v>
      </c>
    </row>
    <row r="6" customFormat="false" ht="48" hidden="false" customHeight="true" outlineLevel="0" collapsed="false">
      <c r="B6" s="27" t="s">
        <v>60</v>
      </c>
      <c r="C6" s="6" t="s">
        <v>67</v>
      </c>
    </row>
    <row r="7" customFormat="false" ht="48" hidden="false" customHeight="true" outlineLevel="0" collapsed="false">
      <c r="B7" s="27" t="s">
        <v>38</v>
      </c>
      <c r="C7" s="6" t="s">
        <v>68</v>
      </c>
    </row>
    <row r="8" customFormat="false" ht="48" hidden="false" customHeight="true" outlineLevel="0" collapsed="false">
      <c r="B8" s="27" t="s">
        <v>69</v>
      </c>
      <c r="C8" s="6" t="s">
        <v>70</v>
      </c>
    </row>
    <row r="9" customFormat="false" ht="48" hidden="false" customHeight="true" outlineLevel="0" collapsed="false">
      <c r="B9" s="27" t="s">
        <v>71</v>
      </c>
      <c r="C9" s="6" t="s">
        <v>72</v>
      </c>
    </row>
    <row r="10" customFormat="false" ht="48" hidden="false" customHeight="true" outlineLevel="0" collapsed="false">
      <c r="B10" s="27" t="s">
        <v>73</v>
      </c>
      <c r="C10" s="6" t="s">
        <v>74</v>
      </c>
    </row>
    <row r="11" customFormat="false" ht="48" hidden="false" customHeight="true" outlineLevel="0" collapsed="false">
      <c r="B11" s="27" t="s">
        <v>59</v>
      </c>
      <c r="C11" s="6" t="s">
        <v>75</v>
      </c>
    </row>
    <row r="12" customFormat="false" ht="48" hidden="false" customHeight="true" outlineLevel="0" collapsed="false">
      <c r="B12" s="27" t="s">
        <v>76</v>
      </c>
      <c r="C12" s="6" t="s">
        <v>77</v>
      </c>
    </row>
    <row r="13" customFormat="false" ht="48" hidden="false" customHeight="true" outlineLevel="0" collapsed="false">
      <c r="B13" s="27" t="s">
        <v>78</v>
      </c>
      <c r="C13" s="6" t="s">
        <v>79</v>
      </c>
    </row>
  </sheetData>
  <mergeCells count="1">
    <mergeCell ref="B1:C1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Excel in Business | Forecast Assumptions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1:H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8" min="4" style="0" width="15"/>
  </cols>
  <sheetData>
    <row r="1" customFormat="false" ht="27.75" hidden="false" customHeight="true" outlineLevel="0" collapsed="false">
      <c r="B1" s="1" t="s">
        <v>80</v>
      </c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B2" s="28" t="s">
        <v>81</v>
      </c>
      <c r="C2" s="28"/>
      <c r="D2" s="28"/>
      <c r="E2" s="28"/>
      <c r="F2" s="28"/>
      <c r="G2" s="28"/>
      <c r="H2" s="28"/>
    </row>
    <row r="4" customFormat="false" ht="21.75" hidden="false" customHeight="true" outlineLevel="0" collapsed="false">
      <c r="B4" s="29" t="s">
        <v>82</v>
      </c>
      <c r="C4" s="14" t="s">
        <v>15</v>
      </c>
      <c r="D4" s="14" t="s">
        <v>50</v>
      </c>
      <c r="E4" s="14" t="s">
        <v>51</v>
      </c>
      <c r="F4" s="14" t="s">
        <v>52</v>
      </c>
      <c r="G4" s="14" t="s">
        <v>53</v>
      </c>
      <c r="H4" s="14" t="s">
        <v>54</v>
      </c>
    </row>
    <row r="5" customFormat="false" ht="19.5" hidden="false" customHeight="true" outlineLevel="0" collapsed="false">
      <c r="C5" s="30"/>
    </row>
    <row r="6" customFormat="false" ht="21" hidden="false" customHeight="true" outlineLevel="0" collapsed="false">
      <c r="B6" s="31" t="s">
        <v>3</v>
      </c>
      <c r="C6" s="31"/>
      <c r="D6" s="31"/>
      <c r="E6" s="31"/>
      <c r="F6" s="31"/>
      <c r="G6" s="31"/>
      <c r="H6" s="31"/>
    </row>
    <row r="7" customFormat="false" ht="19.5" hidden="false" customHeight="true" outlineLevel="0" collapsed="false">
      <c r="B7" s="32" t="s">
        <v>83</v>
      </c>
      <c r="C7" s="33" t="s">
        <v>22</v>
      </c>
      <c r="D7" s="34" t="n">
        <f aca="false">'Forecast Assumptions'!D8*'Forecast Assumptions'!D9</f>
        <v>400000</v>
      </c>
      <c r="E7" s="34" t="n">
        <f aca="false">'Forecast Assumptions'!E8*'Forecast Assumptions'!E9</f>
        <v>457600</v>
      </c>
      <c r="F7" s="34" t="n">
        <f aca="false">'Forecast Assumptions'!F8*'Forecast Assumptions'!F9</f>
        <v>518735.36</v>
      </c>
      <c r="G7" s="34" t="n">
        <f aca="false">'Forecast Assumptions'!G8*'Forecast Assumptions'!G9</f>
        <v>582643.556352</v>
      </c>
      <c r="H7" s="34" t="n">
        <f aca="false">'Forecast Assumptions'!H8*'Forecast Assumptions'!H9</f>
        <v>648365.749508506</v>
      </c>
    </row>
    <row r="8" customFormat="false" ht="19.5" hidden="false" customHeight="true" outlineLevel="0" collapsed="false">
      <c r="B8" s="32" t="s">
        <v>84</v>
      </c>
      <c r="C8" s="33" t="s">
        <v>22</v>
      </c>
      <c r="D8" s="34" t="n">
        <f aca="false">'Forecast Assumptions'!D11*'Forecast Assumptions'!D12</f>
        <v>180000</v>
      </c>
      <c r="E8" s="34" t="n">
        <f aca="false">'Forecast Assumptions'!E11*'Forecast Assumptions'!E12</f>
        <v>205920</v>
      </c>
      <c r="F8" s="34" t="n">
        <f aca="false">'Forecast Assumptions'!F11*'Forecast Assumptions'!F12</f>
        <v>233430.912</v>
      </c>
      <c r="G8" s="34" t="n">
        <f aca="false">'Forecast Assumptions'!G11*'Forecast Assumptions'!G12</f>
        <v>262189.6003584</v>
      </c>
      <c r="H8" s="34" t="n">
        <f aca="false">'Forecast Assumptions'!H11*'Forecast Assumptions'!H12</f>
        <v>291764.587278828</v>
      </c>
    </row>
    <row r="9" customFormat="false" ht="19.5" hidden="false" customHeight="true" outlineLevel="0" collapsed="false">
      <c r="B9" s="32" t="s">
        <v>85</v>
      </c>
      <c r="C9" s="33" t="s">
        <v>22</v>
      </c>
      <c r="D9" s="34" t="n">
        <f aca="false">'Forecast Assumptions'!D14*'Forecast Assumptions'!D15</f>
        <v>125000</v>
      </c>
      <c r="E9" s="34" t="n">
        <f aca="false">'Forecast Assumptions'!E14*'Forecast Assumptions'!E15</f>
        <v>143000</v>
      </c>
      <c r="F9" s="34" t="n">
        <f aca="false">'Forecast Assumptions'!F14*'Forecast Assumptions'!F15</f>
        <v>162104.8</v>
      </c>
      <c r="G9" s="34" t="n">
        <f aca="false">'Forecast Assumptions'!G14*'Forecast Assumptions'!G15</f>
        <v>182076.11136</v>
      </c>
      <c r="H9" s="34" t="n">
        <f aca="false">'Forecast Assumptions'!H14*'Forecast Assumptions'!H15</f>
        <v>202614.296721408</v>
      </c>
    </row>
    <row r="10" customFormat="false" ht="19.5" hidden="false" customHeight="true" outlineLevel="0" collapsed="false">
      <c r="B10" s="35" t="s">
        <v>86</v>
      </c>
      <c r="C10" s="36" t="s">
        <v>22</v>
      </c>
      <c r="D10" s="37" t="n">
        <f aca="false">SUM(D7:D9)</f>
        <v>705000</v>
      </c>
      <c r="E10" s="37" t="n">
        <f aca="false">SUM(E7:E9)</f>
        <v>806520</v>
      </c>
      <c r="F10" s="37" t="n">
        <f aca="false">SUM(F7:F9)</f>
        <v>914271.072</v>
      </c>
      <c r="G10" s="37" t="n">
        <f aca="false">SUM(G7:G9)</f>
        <v>1026909.2680704</v>
      </c>
      <c r="H10" s="37" t="n">
        <f aca="false">SUM(H7:H9)</f>
        <v>1142744.63350874</v>
      </c>
    </row>
    <row r="11" customFormat="false" ht="19.5" hidden="false" customHeight="true" outlineLevel="0" collapsed="false">
      <c r="B11" s="38" t="s">
        <v>87</v>
      </c>
      <c r="C11" s="33" t="s">
        <v>39</v>
      </c>
      <c r="D11" s="39" t="s">
        <v>88</v>
      </c>
      <c r="E11" s="40" t="n">
        <f aca="false">E10/D10-1</f>
        <v>0.144</v>
      </c>
      <c r="F11" s="40" t="n">
        <f aca="false">F10/E10-1</f>
        <v>0.1336</v>
      </c>
      <c r="G11" s="40" t="n">
        <f aca="false">G10/F10-1</f>
        <v>0.1232</v>
      </c>
      <c r="H11" s="40" t="n">
        <f aca="false">H10/G10-1</f>
        <v>0.1128</v>
      </c>
    </row>
    <row r="12" customFormat="false" ht="19.5" hidden="false" customHeight="true" outlineLevel="0" collapsed="false">
      <c r="C12" s="30"/>
    </row>
    <row r="13" customFormat="false" ht="21" hidden="false" customHeight="true" outlineLevel="0" collapsed="false">
      <c r="B13" s="31" t="s">
        <v>89</v>
      </c>
      <c r="C13" s="31"/>
      <c r="D13" s="31"/>
      <c r="E13" s="31"/>
      <c r="F13" s="31"/>
      <c r="G13" s="31"/>
      <c r="H13" s="31"/>
    </row>
    <row r="14" customFormat="false" ht="19.5" hidden="false" customHeight="true" outlineLevel="0" collapsed="false">
      <c r="B14" s="32" t="s">
        <v>90</v>
      </c>
      <c r="C14" s="33" t="s">
        <v>22</v>
      </c>
      <c r="D14" s="34" t="n">
        <f aca="false">'Forecast Assumptions'!D8*'Forecast Assumptions'!D19</f>
        <v>150000</v>
      </c>
      <c r="E14" s="34" t="n">
        <f aca="false">'Forecast Assumptions'!E8*'Forecast Assumptions'!E19</f>
        <v>168300</v>
      </c>
      <c r="F14" s="34" t="n">
        <f aca="false">'Forecast Assumptions'!F8*'Forecast Assumptions'!F19</f>
        <v>187115.94</v>
      </c>
      <c r="G14" s="34" t="n">
        <f aca="false">'Forecast Assumptions'!G8*'Forecast Assumptions'!G19</f>
        <v>206126.919504</v>
      </c>
      <c r="H14" s="34" t="n">
        <f aca="false">'Forecast Assumptions'!H8*'Forecast Assumptions'!H19</f>
        <v>224966.919946666</v>
      </c>
    </row>
    <row r="15" customFormat="false" ht="19.5" hidden="false" customHeight="true" outlineLevel="0" collapsed="false">
      <c r="B15" s="32" t="s">
        <v>91</v>
      </c>
      <c r="C15" s="33" t="s">
        <v>22</v>
      </c>
      <c r="D15" s="34" t="n">
        <f aca="false">'Forecast Assumptions'!D11*'Forecast Assumptions'!D20</f>
        <v>48000</v>
      </c>
      <c r="E15" s="34" t="n">
        <f aca="false">'Forecast Assumptions'!E11*'Forecast Assumptions'!E20</f>
        <v>53856</v>
      </c>
      <c r="F15" s="34" t="n">
        <f aca="false">'Forecast Assumptions'!F11*'Forecast Assumptions'!F20</f>
        <v>59877.1008</v>
      </c>
      <c r="G15" s="34" t="n">
        <f aca="false">'Forecast Assumptions'!G11*'Forecast Assumptions'!G20</f>
        <v>65960.61424128</v>
      </c>
      <c r="H15" s="34" t="n">
        <f aca="false">'Forecast Assumptions'!H11*'Forecast Assumptions'!H20</f>
        <v>71989.414382933</v>
      </c>
    </row>
    <row r="16" customFormat="false" ht="19.5" hidden="false" customHeight="true" outlineLevel="0" collapsed="false">
      <c r="B16" s="32" t="s">
        <v>92</v>
      </c>
      <c r="C16" s="33" t="s">
        <v>22</v>
      </c>
      <c r="D16" s="34" t="n">
        <f aca="false">'Forecast Assumptions'!D14*'Forecast Assumptions'!D21</f>
        <v>55000</v>
      </c>
      <c r="E16" s="34" t="n">
        <f aca="false">'Forecast Assumptions'!E14*'Forecast Assumptions'!E21</f>
        <v>61710</v>
      </c>
      <c r="F16" s="34" t="n">
        <f aca="false">'Forecast Assumptions'!F14*'Forecast Assumptions'!F21</f>
        <v>68609.178</v>
      </c>
      <c r="G16" s="34" t="n">
        <f aca="false">'Forecast Assumptions'!G14*'Forecast Assumptions'!G21</f>
        <v>75579.8704848</v>
      </c>
      <c r="H16" s="34" t="n">
        <f aca="false">'Forecast Assumptions'!H14*'Forecast Assumptions'!H21</f>
        <v>82487.8706471108</v>
      </c>
    </row>
    <row r="17" customFormat="false" ht="19.5" hidden="false" customHeight="true" outlineLevel="0" collapsed="false">
      <c r="B17" s="35" t="s">
        <v>93</v>
      </c>
      <c r="C17" s="36" t="s">
        <v>22</v>
      </c>
      <c r="D17" s="37" t="n">
        <f aca="false">SUM(D14:D16)</f>
        <v>253000</v>
      </c>
      <c r="E17" s="37" t="n">
        <f aca="false">SUM(E14:E16)</f>
        <v>283866</v>
      </c>
      <c r="F17" s="37" t="n">
        <f aca="false">SUM(F14:F16)</f>
        <v>315602.2188</v>
      </c>
      <c r="G17" s="37" t="n">
        <f aca="false">SUM(G14:G16)</f>
        <v>347667.40423008</v>
      </c>
      <c r="H17" s="37" t="n">
        <f aca="false">SUM(H14:H16)</f>
        <v>379444.204976709</v>
      </c>
    </row>
    <row r="18" customFormat="false" ht="19.5" hidden="false" customHeight="true" outlineLevel="0" collapsed="false">
      <c r="C18" s="30"/>
    </row>
    <row r="19" customFormat="false" ht="19.5" hidden="false" customHeight="true" outlineLevel="0" collapsed="false">
      <c r="B19" s="41" t="s">
        <v>94</v>
      </c>
      <c r="C19" s="42" t="s">
        <v>22</v>
      </c>
      <c r="D19" s="37" t="n">
        <f aca="false">D10-D17</f>
        <v>452000</v>
      </c>
      <c r="E19" s="37" t="n">
        <f aca="false">E10-E17</f>
        <v>522654</v>
      </c>
      <c r="F19" s="37" t="n">
        <f aca="false">F10-F17</f>
        <v>598668.8532</v>
      </c>
      <c r="G19" s="37" t="n">
        <f aca="false">G10-G17</f>
        <v>679241.86384032</v>
      </c>
      <c r="H19" s="37" t="n">
        <f aca="false">H10-H17</f>
        <v>763300.428532032</v>
      </c>
    </row>
    <row r="20" customFormat="false" ht="19.5" hidden="false" customHeight="true" outlineLevel="0" collapsed="false">
      <c r="B20" s="38" t="s">
        <v>95</v>
      </c>
      <c r="C20" s="33" t="s">
        <v>39</v>
      </c>
      <c r="D20" s="40" t="n">
        <f aca="false">D19/D10</f>
        <v>0.64113475177305</v>
      </c>
      <c r="E20" s="40" t="n">
        <f aca="false">E19/E10</f>
        <v>0.648036006546645</v>
      </c>
      <c r="F20" s="40" t="n">
        <f aca="false">F19/F10</f>
        <v>0.654804544882286</v>
      </c>
      <c r="G20" s="40" t="n">
        <f aca="false">G19/G10</f>
        <v>0.661442919019165</v>
      </c>
      <c r="H20" s="40" t="n">
        <f aca="false">H19/H10</f>
        <v>0.667953632114951</v>
      </c>
    </row>
    <row r="21" customFormat="false" ht="19.5" hidden="false" customHeight="true" outlineLevel="0" collapsed="false">
      <c r="C21" s="30"/>
    </row>
    <row r="22" customFormat="false" ht="21" hidden="false" customHeight="true" outlineLevel="0" collapsed="false">
      <c r="B22" s="31" t="s">
        <v>96</v>
      </c>
      <c r="C22" s="31"/>
      <c r="D22" s="31"/>
      <c r="E22" s="31"/>
      <c r="F22" s="31"/>
      <c r="G22" s="31"/>
      <c r="H22" s="31"/>
    </row>
    <row r="23" customFormat="false" ht="19.5" hidden="false" customHeight="true" outlineLevel="0" collapsed="false">
      <c r="B23" s="32" t="s">
        <v>21</v>
      </c>
      <c r="C23" s="33" t="s">
        <v>22</v>
      </c>
      <c r="D23" s="34" t="n">
        <f aca="false">'Forecast Assumptions'!D23</f>
        <v>150000</v>
      </c>
      <c r="E23" s="34" t="n">
        <f aca="false">'Forecast Assumptions'!E23</f>
        <v>157500</v>
      </c>
      <c r="F23" s="34" t="n">
        <f aca="false">'Forecast Assumptions'!F23</f>
        <v>165375</v>
      </c>
      <c r="G23" s="34" t="n">
        <f aca="false">'Forecast Assumptions'!G23</f>
        <v>173643.75</v>
      </c>
      <c r="H23" s="34" t="n">
        <f aca="false">'Forecast Assumptions'!H23</f>
        <v>182325.9375</v>
      </c>
    </row>
    <row r="24" customFormat="false" ht="19.5" hidden="false" customHeight="true" outlineLevel="0" collapsed="false">
      <c r="B24" s="32" t="s">
        <v>24</v>
      </c>
      <c r="C24" s="33" t="s">
        <v>22</v>
      </c>
      <c r="D24" s="34" t="n">
        <f aca="false">'Forecast Assumptions'!D24</f>
        <v>60000</v>
      </c>
      <c r="E24" s="34" t="n">
        <f aca="false">'Forecast Assumptions'!E24</f>
        <v>61800</v>
      </c>
      <c r="F24" s="34" t="n">
        <f aca="false">'Forecast Assumptions'!F24</f>
        <v>63654</v>
      </c>
      <c r="G24" s="34" t="n">
        <f aca="false">'Forecast Assumptions'!G24</f>
        <v>65563.62</v>
      </c>
      <c r="H24" s="34" t="n">
        <f aca="false">'Forecast Assumptions'!H24</f>
        <v>67530.5286</v>
      </c>
    </row>
    <row r="25" customFormat="false" ht="19.5" hidden="false" customHeight="true" outlineLevel="0" collapsed="false">
      <c r="B25" s="32" t="s">
        <v>26</v>
      </c>
      <c r="C25" s="33" t="s">
        <v>22</v>
      </c>
      <c r="D25" s="34" t="n">
        <f aca="false">'Forecast Assumptions'!D25</f>
        <v>10000</v>
      </c>
      <c r="E25" s="34" t="n">
        <f aca="false">'Forecast Assumptions'!E25</f>
        <v>10500</v>
      </c>
      <c r="F25" s="34" t="n">
        <f aca="false">'Forecast Assumptions'!F25</f>
        <v>11025</v>
      </c>
      <c r="G25" s="34" t="n">
        <f aca="false">'Forecast Assumptions'!G25</f>
        <v>11576.25</v>
      </c>
      <c r="H25" s="34" t="n">
        <f aca="false">'Forecast Assumptions'!H25</f>
        <v>12155.0625</v>
      </c>
    </row>
    <row r="26" customFormat="false" ht="19.5" hidden="false" customHeight="true" outlineLevel="0" collapsed="false">
      <c r="B26" s="32" t="s">
        <v>27</v>
      </c>
      <c r="C26" s="33" t="s">
        <v>22</v>
      </c>
      <c r="D26" s="34" t="n">
        <f aca="false">'Forecast Assumptions'!D26</f>
        <v>5000</v>
      </c>
      <c r="E26" s="34" t="n">
        <f aca="false">'Forecast Assumptions'!E26</f>
        <v>5250</v>
      </c>
      <c r="F26" s="34" t="n">
        <f aca="false">'Forecast Assumptions'!F26</f>
        <v>5512.5</v>
      </c>
      <c r="G26" s="34" t="n">
        <f aca="false">'Forecast Assumptions'!G26</f>
        <v>5788.125</v>
      </c>
      <c r="H26" s="34" t="n">
        <f aca="false">'Forecast Assumptions'!H26</f>
        <v>6077.53125</v>
      </c>
    </row>
    <row r="27" customFormat="false" ht="19.5" hidden="false" customHeight="true" outlineLevel="0" collapsed="false">
      <c r="B27" s="35" t="s">
        <v>97</v>
      </c>
      <c r="C27" s="36" t="s">
        <v>22</v>
      </c>
      <c r="D27" s="37" t="n">
        <f aca="false">SUM(D23:D26)</f>
        <v>225000</v>
      </c>
      <c r="E27" s="37" t="n">
        <f aca="false">SUM(E23:E26)</f>
        <v>235050</v>
      </c>
      <c r="F27" s="37" t="n">
        <f aca="false">SUM(F23:F26)</f>
        <v>245566.5</v>
      </c>
      <c r="G27" s="37" t="n">
        <f aca="false">SUM(G23:G26)</f>
        <v>256571.745</v>
      </c>
      <c r="H27" s="37" t="n">
        <f aca="false">SUM(H23:H26)</f>
        <v>268089.05985</v>
      </c>
    </row>
    <row r="28" customFormat="false" ht="19.5" hidden="false" customHeight="true" outlineLevel="0" collapsed="false">
      <c r="C28" s="30"/>
    </row>
    <row r="29" customFormat="false" ht="19.5" hidden="false" customHeight="true" outlineLevel="0" collapsed="false">
      <c r="B29" s="41" t="s">
        <v>69</v>
      </c>
      <c r="C29" s="42" t="s">
        <v>22</v>
      </c>
      <c r="D29" s="37" t="n">
        <f aca="false">D19-D27</f>
        <v>227000</v>
      </c>
      <c r="E29" s="37" t="n">
        <f aca="false">E19-E27</f>
        <v>287604</v>
      </c>
      <c r="F29" s="37" t="n">
        <f aca="false">F19-F27</f>
        <v>353102.3532</v>
      </c>
      <c r="G29" s="37" t="n">
        <f aca="false">G19-G27</f>
        <v>422670.11884032</v>
      </c>
      <c r="H29" s="37" t="n">
        <f aca="false">H19-H27</f>
        <v>495211.368682032</v>
      </c>
    </row>
    <row r="30" customFormat="false" ht="19.5" hidden="false" customHeight="true" outlineLevel="0" collapsed="false">
      <c r="B30" s="38" t="s">
        <v>98</v>
      </c>
      <c r="C30" s="33" t="s">
        <v>39</v>
      </c>
      <c r="D30" s="40" t="n">
        <f aca="false">D29/D10</f>
        <v>0.321985815602837</v>
      </c>
      <c r="E30" s="40" t="n">
        <f aca="false">E29/E10</f>
        <v>0.356598720428508</v>
      </c>
      <c r="F30" s="40" t="n">
        <f aca="false">F29/F10</f>
        <v>0.386211883995822</v>
      </c>
      <c r="G30" s="40" t="n">
        <f aca="false">G29/G10</f>
        <v>0.411594414406769</v>
      </c>
      <c r="H30" s="40" t="n">
        <f aca="false">H29/H10</f>
        <v>0.433352609289015</v>
      </c>
    </row>
    <row r="31" customFormat="false" ht="19.5" hidden="false" customHeight="true" outlineLevel="0" collapsed="false">
      <c r="C31" s="30"/>
    </row>
    <row r="32" customFormat="false" ht="21" hidden="false" customHeight="true" outlineLevel="0" collapsed="false">
      <c r="B32" s="31" t="s">
        <v>99</v>
      </c>
      <c r="C32" s="31"/>
      <c r="D32" s="31"/>
      <c r="E32" s="31"/>
      <c r="F32" s="31"/>
      <c r="G32" s="31"/>
      <c r="H32" s="31"/>
    </row>
    <row r="33" customFormat="false" ht="19.5" hidden="false" customHeight="true" outlineLevel="0" collapsed="false">
      <c r="B33" s="32" t="s">
        <v>100</v>
      </c>
      <c r="C33" s="33" t="s">
        <v>22</v>
      </c>
      <c r="D33" s="34" t="n">
        <f aca="false">-'Forecast Assumptions'!D28*D10</f>
        <v>35250</v>
      </c>
      <c r="E33" s="34" t="n">
        <f aca="false">-'Forecast Assumptions'!E28*E10</f>
        <v>38309.7</v>
      </c>
      <c r="F33" s="34" t="n">
        <f aca="false">-'Forecast Assumptions'!F28*F10</f>
        <v>41142.19824</v>
      </c>
      <c r="G33" s="34" t="n">
        <f aca="false">-'Forecast Assumptions'!G28*G10</f>
        <v>43643.643892992</v>
      </c>
      <c r="H33" s="34" t="n">
        <f aca="false">-'Forecast Assumptions'!H28*H10</f>
        <v>45709.7853403497</v>
      </c>
    </row>
    <row r="34" customFormat="false" ht="19.5" hidden="false" customHeight="true" outlineLevel="0" collapsed="false">
      <c r="B34" s="35" t="s">
        <v>71</v>
      </c>
      <c r="C34" s="36" t="s">
        <v>22</v>
      </c>
      <c r="D34" s="37" t="n">
        <f aca="false">D29-D33</f>
        <v>191750</v>
      </c>
      <c r="E34" s="37" t="n">
        <f aca="false">E29-E33</f>
        <v>249294.3</v>
      </c>
      <c r="F34" s="37" t="n">
        <f aca="false">F29-F33</f>
        <v>311960.15496</v>
      </c>
      <c r="G34" s="37" t="n">
        <f aca="false">G29-G33</f>
        <v>379026.474947328</v>
      </c>
      <c r="H34" s="37" t="n">
        <f aca="false">H29-H33</f>
        <v>449501.583341683</v>
      </c>
    </row>
    <row r="35" customFormat="false" ht="19.5" hidden="false" customHeight="true" outlineLevel="0" collapsed="false">
      <c r="C35" s="30"/>
    </row>
    <row r="36" customFormat="false" ht="19.5" hidden="false" customHeight="true" outlineLevel="0" collapsed="false">
      <c r="B36" s="43" t="s">
        <v>101</v>
      </c>
      <c r="C36" s="44" t="s">
        <v>22</v>
      </c>
      <c r="D36" s="45" t="n">
        <v>15850</v>
      </c>
      <c r="E36" s="45" t="n">
        <v>15850</v>
      </c>
      <c r="F36" s="45" t="n">
        <v>15850</v>
      </c>
      <c r="G36" s="45" t="n">
        <v>15850</v>
      </c>
      <c r="H36" s="45" t="n">
        <v>15850</v>
      </c>
    </row>
    <row r="37" customFormat="false" ht="19.5" hidden="false" customHeight="true" outlineLevel="0" collapsed="false">
      <c r="B37" s="35" t="s">
        <v>102</v>
      </c>
      <c r="C37" s="36" t="s">
        <v>22</v>
      </c>
      <c r="D37" s="37" t="n">
        <f aca="false">D34-D36</f>
        <v>175900</v>
      </c>
      <c r="E37" s="37" t="n">
        <f aca="false">E34-E36</f>
        <v>233444.3</v>
      </c>
      <c r="F37" s="37" t="n">
        <f aca="false">F34-F36</f>
        <v>296110.15496</v>
      </c>
      <c r="G37" s="37" t="n">
        <f aca="false">G34-G36</f>
        <v>363176.474947328</v>
      </c>
      <c r="H37" s="37" t="n">
        <f aca="false">H34-H36</f>
        <v>433651.583341683</v>
      </c>
    </row>
    <row r="38" customFormat="false" ht="19.5" hidden="false" customHeight="true" outlineLevel="0" collapsed="false">
      <c r="B38" s="32" t="s">
        <v>103</v>
      </c>
      <c r="C38" s="33" t="s">
        <v>22</v>
      </c>
      <c r="D38" s="34" t="n">
        <f aca="false">D37*'Forecast Assumptions'!D36</f>
        <v>36939</v>
      </c>
      <c r="E38" s="34" t="n">
        <f aca="false">E37*'Forecast Assumptions'!E36</f>
        <v>49023.303</v>
      </c>
      <c r="F38" s="34" t="n">
        <f aca="false">F37*'Forecast Assumptions'!F36</f>
        <v>62183.1325416</v>
      </c>
      <c r="G38" s="34" t="n">
        <f aca="false">G37*'Forecast Assumptions'!G36</f>
        <v>76267.0597389389</v>
      </c>
      <c r="H38" s="34" t="n">
        <f aca="false">H37*'Forecast Assumptions'!H36</f>
        <v>91066.8325017534</v>
      </c>
    </row>
    <row r="39" customFormat="false" ht="19.5" hidden="false" customHeight="true" outlineLevel="0" collapsed="false">
      <c r="B39" s="41" t="s">
        <v>104</v>
      </c>
      <c r="C39" s="42" t="s">
        <v>22</v>
      </c>
      <c r="D39" s="37" t="n">
        <f aca="false">D37-D38</f>
        <v>138961</v>
      </c>
      <c r="E39" s="37" t="n">
        <f aca="false">E37-E38</f>
        <v>184420.997</v>
      </c>
      <c r="F39" s="37" t="n">
        <f aca="false">F37-F38</f>
        <v>233927.0224184</v>
      </c>
      <c r="G39" s="37" t="n">
        <f aca="false">G37-G38</f>
        <v>286909.415208389</v>
      </c>
      <c r="H39" s="37" t="n">
        <f aca="false">H37-H38</f>
        <v>342584.750839929</v>
      </c>
    </row>
    <row r="40" customFormat="false" ht="19.5" hidden="false" customHeight="true" outlineLevel="0" collapsed="false">
      <c r="C40" s="30"/>
    </row>
    <row r="42" customFormat="false" ht="33.75" hidden="false" customHeight="true" outlineLevel="0" collapsed="false">
      <c r="B42" s="46" t="s">
        <v>105</v>
      </c>
      <c r="C42" s="46"/>
      <c r="D42" s="46"/>
      <c r="E42" s="46"/>
      <c r="F42" s="46"/>
      <c r="G42" s="46"/>
      <c r="H42" s="46"/>
    </row>
    <row r="44" customFormat="false" ht="15" hidden="false" customHeight="false" outlineLevel="0" collapsed="false">
      <c r="B44" s="47" t="s">
        <v>106</v>
      </c>
    </row>
    <row r="45" customFormat="false" ht="15" hidden="false" customHeight="false" outlineLevel="0" collapsed="false">
      <c r="B45" s="48" t="s">
        <v>107</v>
      </c>
      <c r="C45" s="49" t="s">
        <v>108</v>
      </c>
    </row>
    <row r="46" customFormat="false" ht="15" hidden="false" customHeight="false" outlineLevel="0" collapsed="false">
      <c r="B46" s="50" t="s">
        <v>109</v>
      </c>
      <c r="C46" s="49" t="s">
        <v>110</v>
      </c>
    </row>
    <row r="47" customFormat="false" ht="15" hidden="false" customHeight="false" outlineLevel="0" collapsed="false">
      <c r="B47" s="32" t="s">
        <v>111</v>
      </c>
      <c r="C47" s="49" t="s">
        <v>112</v>
      </c>
    </row>
    <row r="48" customFormat="false" ht="15" hidden="false" customHeight="false" outlineLevel="0" collapsed="false">
      <c r="B48" s="51" t="s">
        <v>113</v>
      </c>
      <c r="C48" s="49" t="s">
        <v>114</v>
      </c>
    </row>
    <row r="50" customFormat="false" ht="27.75" hidden="false" customHeight="true" outlineLevel="0" collapsed="false">
      <c r="B50" s="52" t="s">
        <v>115</v>
      </c>
      <c r="C50" s="52"/>
      <c r="D50" s="52"/>
      <c r="E50" s="52"/>
      <c r="F50" s="52"/>
      <c r="G50" s="52"/>
      <c r="H50" s="52"/>
    </row>
  </sheetData>
  <mergeCells count="8">
    <mergeCell ref="B1:H1"/>
    <mergeCell ref="B2:H2"/>
    <mergeCell ref="B6:H6"/>
    <mergeCell ref="B13:H13"/>
    <mergeCell ref="B22:H22"/>
    <mergeCell ref="B32:H32"/>
    <mergeCell ref="B42:H42"/>
    <mergeCell ref="B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2026-09-09T17:07:34Z</dcterms:created>
  <dc:creator>Forage Academy</dc:creator>
  <dc:description/>
  <dc:language>en-US</dc:language>
  <cp:lastModifiedBy/>
  <dcterms:modified xsi:type="dcterms:W3CDTF">2026-09-22T18:11:27Z</dcterms:modified>
  <cp:revision>0</cp:revision>
  <dc:subject>Task 1 forecast assumptions practice workbook</dc:subject>
  <dc:title>Excel in Business - Forecast Assumptions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