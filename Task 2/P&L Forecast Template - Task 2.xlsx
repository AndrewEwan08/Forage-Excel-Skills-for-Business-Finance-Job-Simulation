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Information" sheetId="1" state="visible" r:id="rId1"/>
    <sheet xmlns:r="http://schemas.openxmlformats.org/officeDocument/2006/relationships" name="Forecast Assumptions" sheetId="2" state="visible" r:id="rId2"/>
    <sheet xmlns:r="http://schemas.openxmlformats.org/officeDocument/2006/relationships" name="Glossary" sheetId="3" state="visible" r:id="rId3"/>
    <sheet xmlns:r="http://schemas.openxmlformats.org/officeDocument/2006/relationships" name="P&amp;L Forecast" sheetId="4" state="visible" r:id="rId4"/>
  </sheets>
  <definedNames>
    <definedName name="_xlnm.Print_Area" localSheetId="3">'P&amp;L Forecast'!$B$1:$H$50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$0.00"/>
    <numFmt numFmtId="165" formatCode="$#,##0"/>
    <numFmt numFmtId="166" formatCode="0.0%"/>
    <numFmt numFmtId="167" formatCode="$#,##0.00"/>
    <numFmt numFmtId="168" formatCode="$#,##0;[Red]($#,##0);-"/>
    <numFmt numFmtId="169" formatCode="0.0%;[Red](0.0%);-"/>
  </numFmts>
  <fonts count="20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b val="1"/>
      <color rgb="0017365D"/>
      <sz val="12"/>
    </font>
    <font>
      <color rgb="00000000"/>
      <sz val="10"/>
    </font>
    <font>
      <b val="1"/>
      <color rgb="00FFFFFF"/>
      <sz val="11"/>
    </font>
    <font>
      <b val="1"/>
      <color rgb="0017365D"/>
    </font>
    <font>
      <i val="1"/>
      <color rgb="00666666"/>
      <sz val="9"/>
    </font>
    <font>
      <b val="1"/>
      <color rgb="00FFFFFF"/>
    </font>
    <font>
      <color rgb="00666666"/>
    </font>
    <font>
      <name val="Calibri"/>
      <family val="2"/>
      <color rgb="000000FF"/>
      <sz val="11"/>
      <scheme val="minor"/>
    </font>
    <font>
      <name val="Calibri"/>
      <family val="2"/>
      <color rgb="00000000"/>
      <sz val="11"/>
      <scheme val="minor"/>
    </font>
    <font>
      <color rgb="00666666"/>
      <sz val="9"/>
    </font>
    <font>
      <color rgb="00000000"/>
    </font>
    <font>
      <name val="Calibri"/>
      <color rgb="00008000"/>
      <sz val="11"/>
    </font>
    <font>
      <name val="Calibri"/>
      <color rgb="00000000"/>
      <sz val="11"/>
    </font>
    <font>
      <i val="1"/>
      <color rgb="00666666"/>
    </font>
    <font>
      <name val="Calibri"/>
      <color rgb="000000FF"/>
      <sz val="11"/>
    </font>
    <font>
      <b val="1"/>
      <color rgb="00000000"/>
    </font>
    <font>
      <color rgb="00008000"/>
    </font>
    <font>
      <color rgb="000000FF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4FB"/>
      </patternFill>
    </fill>
    <fill>
      <patternFill patternType="solid">
        <fgColor rgb="001F4E78"/>
      </patternFill>
    </fill>
    <fill>
      <patternFill patternType="solid">
        <fgColor rgb="00F3F4F6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B8C2CC"/>
      </bottom>
    </border>
    <border>
      <top style="thin">
        <color rgb="00B8C2CC"/>
      </top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4" fillId="4" borderId="0" pivotButton="0" quotePrefix="0" xfId="0"/>
    <xf numFmtId="0" fontId="5" fillId="5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6" fillId="0" borderId="0" applyAlignment="1" pivotButton="0" quotePrefix="0" xfId="0">
      <alignment wrapText="1"/>
    </xf>
    <xf numFmtId="0" fontId="7" fillId="4" borderId="0" applyAlignment="1" pivotButton="0" quotePrefix="0" xfId="0">
      <alignment horizontal="center" vertical="center"/>
    </xf>
    <xf numFmtId="0" fontId="5" fillId="5" borderId="0" pivotButton="0" quotePrefix="0" xfId="0"/>
    <xf numFmtId="0" fontId="0" fillId="0" borderId="0" applyAlignment="1" pivotButton="0" quotePrefix="0" xfId="0">
      <alignment indent="1"/>
    </xf>
    <xf numFmtId="0" fontId="8" fillId="0" borderId="0" pivotButton="0" quotePrefix="0" xfId="0"/>
    <xf numFmtId="3" fontId="0" fillId="6" borderId="1" pivotButton="0" quotePrefix="0" xfId="0"/>
    <xf numFmtId="165" fontId="0" fillId="6" borderId="1" pivotButton="0" quotePrefix="0" xfId="0"/>
    <xf numFmtId="167" fontId="0" fillId="6" borderId="1" pivotButton="0" quotePrefix="0" xfId="0"/>
    <xf numFmtId="10" fontId="0" fillId="6" borderId="1" pivotButton="0" quotePrefix="0" xfId="0"/>
    <xf numFmtId="0" fontId="7" fillId="4" borderId="0" pivotButton="0" quotePrefix="0" xfId="0"/>
    <xf numFmtId="0" fontId="5" fillId="0" borderId="1" applyAlignment="1" pivotButton="0" quotePrefix="0" xfId="0">
      <alignment vertical="top" wrapText="1"/>
    </xf>
    <xf numFmtId="3" fontId="9" fillId="6" borderId="1" pivotButton="0" quotePrefix="0" xfId="0"/>
    <xf numFmtId="3" fontId="10" fillId="6" borderId="1" pivotButton="0" quotePrefix="0" xfId="0"/>
    <xf numFmtId="165" fontId="9" fillId="6" borderId="1" pivotButton="0" quotePrefix="0" xfId="0"/>
    <xf numFmtId="165" fontId="10" fillId="6" borderId="1" pivotButton="0" quotePrefix="0" xfId="0"/>
    <xf numFmtId="167" fontId="9" fillId="6" borderId="1" pivotButton="0" quotePrefix="0" xfId="0"/>
    <xf numFmtId="167" fontId="10" fillId="6" borderId="1" pivotButton="0" quotePrefix="0" xfId="0"/>
    <xf numFmtId="10" fontId="9" fillId="6" borderId="1" pivotButton="0" quotePrefix="0" xfId="0"/>
    <xf numFmtId="10" fontId="10" fillId="6" borderId="1" pivotButton="0" quotePrefix="0" xfId="0"/>
    <xf numFmtId="0" fontId="11" fillId="0" borderId="0" applyAlignment="1" pivotButton="0" quotePrefix="0" xfId="0">
      <alignment vertical="center" wrapText="1"/>
    </xf>
    <xf numFmtId="0" fontId="7" fillId="4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168" fontId="13" fillId="6" borderId="1" applyAlignment="1" pivotButton="0" quotePrefix="0" xfId="0">
      <alignment horizontal="right"/>
    </xf>
    <xf numFmtId="0" fontId="5" fillId="0" borderId="2" applyAlignment="1" pivotButton="0" quotePrefix="0" xfId="0">
      <alignment vertical="center"/>
    </xf>
    <xf numFmtId="0" fontId="8" fillId="0" borderId="2" applyAlignment="1" pivotButton="0" quotePrefix="0" xfId="0">
      <alignment horizontal="center" vertical="center"/>
    </xf>
    <xf numFmtId="168" fontId="14" fillId="6" borderId="1" applyAlignment="1" pivotButton="0" quotePrefix="0" xfId="0">
      <alignment horizontal="right"/>
    </xf>
    <xf numFmtId="0" fontId="12" fillId="0" borderId="0" applyAlignment="1" pivotButton="0" quotePrefix="0" xfId="0">
      <alignment vertical="center" indent="1"/>
    </xf>
    <xf numFmtId="0" fontId="15" fillId="5" borderId="1" applyAlignment="1" pivotButton="0" quotePrefix="0" xfId="0">
      <alignment horizontal="center"/>
    </xf>
    <xf numFmtId="169" fontId="14" fillId="6" borderId="1" applyAlignment="1" pivotButton="0" quotePrefix="0" xfId="0">
      <alignment horizontal="right"/>
    </xf>
    <xf numFmtId="0" fontId="5" fillId="5" borderId="2" applyAlignment="1" pivotButton="0" quotePrefix="0" xfId="0">
      <alignment vertical="center"/>
    </xf>
    <xf numFmtId="0" fontId="8" fillId="5" borderId="2" applyAlignment="1" pivotButton="0" quotePrefix="0" xfId="0">
      <alignment horizontal="center" vertical="center"/>
    </xf>
    <xf numFmtId="0" fontId="12" fillId="7" borderId="0" applyAlignment="1" pivotButton="0" quotePrefix="0" xfId="0">
      <alignment vertical="center"/>
    </xf>
    <xf numFmtId="0" fontId="8" fillId="7" borderId="0" applyAlignment="1" pivotButton="0" quotePrefix="0" xfId="0">
      <alignment horizontal="center" vertical="center"/>
    </xf>
    <xf numFmtId="168" fontId="16" fillId="7" borderId="1" applyAlignment="1" pivotButton="0" quotePrefix="0" xfId="0">
      <alignment horizontal="right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/>
    </xf>
    <xf numFmtId="0" fontId="17" fillId="6" borderId="0" applyAlignment="1" pivotButton="0" quotePrefix="0" xfId="0">
      <alignment vertical="center"/>
    </xf>
    <xf numFmtId="0" fontId="11" fillId="0" borderId="0" pivotButton="0" quotePrefix="0" xfId="0"/>
    <xf numFmtId="0" fontId="18" fillId="0" borderId="0" applyAlignment="1" pivotButton="0" quotePrefix="0" xfId="0">
      <alignment vertical="center"/>
    </xf>
    <xf numFmtId="0" fontId="19" fillId="7" borderId="0" applyAlignment="1" pivotButton="0" quotePrefix="0" xfId="0">
      <alignment vertical="center"/>
    </xf>
    <xf numFmtId="0" fontId="1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Forage Academy</author>
  </authors>
  <commentList>
    <comment ref="D8" authorId="0" shapeId="0">
      <text>
        <t>Use the Business Information tab to determine the starting assumption for FY2026E.</t>
      </text>
    </comment>
    <comment ref="D9" authorId="0" shapeId="0">
      <text>
        <t>Use the Business Information tab to determine the starting assumption for FY2026E.</t>
      </text>
    </comment>
    <comment ref="D11" authorId="0" shapeId="0">
      <text>
        <t>Use the Business Information tab to determine the starting assumption for FY2026E.</t>
      </text>
    </comment>
    <comment ref="D12" authorId="0" shapeId="0">
      <text>
        <t>Use the Business Information tab to determine the starting assumption for FY2026E.</t>
      </text>
    </comment>
    <comment ref="D14" authorId="0" shapeId="0">
      <text>
        <t>Use the Business Information tab to determine the starting assumption for FY2026E.</t>
      </text>
    </comment>
    <comment ref="D15" authorId="0" shapeId="0">
      <text>
        <t>Use the Business Information tab to determine the starting assumption for FY2026E.</t>
      </text>
    </comment>
    <comment ref="D19" authorId="0" shapeId="0">
      <text>
        <t>Use the Business Information tab to determine the starting assumption for FY2026E.</t>
      </text>
    </comment>
    <comment ref="D20" authorId="0" shapeId="0">
      <text>
        <t>Use the Business Information tab to determine the starting assumption for FY2026E.</t>
      </text>
    </comment>
    <comment ref="D21" authorId="0" shapeId="0">
      <text>
        <t>Use the Business Information tab to determine the starting assumption for FY2026E.</t>
      </text>
    </comment>
    <comment ref="D23" authorId="0" shapeId="0">
      <text>
        <t>Use the Business Information tab to determine the starting assumption for FY2026E.</t>
      </text>
    </comment>
    <comment ref="D24" authorId="0" shapeId="0">
      <text>
        <t>Use the Business Information tab to determine the starting assumption for FY2026E.</t>
      </text>
    </comment>
    <comment ref="D25" authorId="0" shapeId="0">
      <text>
        <t>Use the Business Information tab to determine the starting assumption for FY2026E.</t>
      </text>
    </comment>
    <comment ref="D26" authorId="0" shapeId="0">
      <text>
        <t>Use the Business Information tab to determine the starting assumption for FY2026E.</t>
      </text>
    </comment>
    <comment ref="D28" authorId="0" shapeId="0">
      <text>
        <t>Use the Business Information tab to determine the starting assumption for FY2026E.</t>
      </text>
    </comment>
    <comment ref="D31" authorId="0" shapeId="0">
      <text>
        <t>Use the Business Information tab to determine the starting assumption for FY2026E.</t>
      </text>
    </comment>
    <comment ref="D32" authorId="0" shapeId="0">
      <text>
        <t>Use the Business Information tab to determine the starting assumption for FY2026E.</t>
      </text>
    </comment>
    <comment ref="D33" authorId="0" shapeId="0">
      <text>
        <t>Use the Business Information tab to determine the starting assumption for FY2026E.</t>
      </text>
    </comment>
    <comment ref="D36" authorId="0" shapeId="0">
      <text>
        <t>Use the Business Information tab to determine the starting assumption for FY2026E.</t>
      </text>
    </comment>
    <comment ref="D37" authorId="0" shapeId="0">
      <text>
        <t>Use the Business Information tab to determine the starting assumption for FY2026E.</t>
      </text>
    </comment>
    <comment ref="D38" authorId="0" shapeId="0">
      <text>
        <t>Use the Business Information tab to determine the starting assumption for FY2026E.</t>
      </text>
    </comment>
  </commentList>
</comments>
</file>

<file path=xl/comments/comment2.xml><?xml version="1.0" encoding="utf-8"?>
<comments xmlns="http://schemas.openxmlformats.org/spreadsheetml/2006/main">
  <authors>
    <author>Forage Academy</author>
  </authors>
  <commentList>
    <comment ref="B7" authorId="0" shapeId="0">
      <text>
        <t>Use units sold and average selling price from Forecast Assumptions.</t>
      </text>
    </comment>
    <comment ref="B14" authorId="0" shapeId="0">
      <text>
        <t>Use units sold and COGS per unit from Forecast Assumptions.</t>
      </text>
    </comment>
    <comment ref="B23" authorId="0" shapeId="0">
      <text>
        <t>Link this operating expense directly from Forecast Assumptions.</t>
      </text>
    </comment>
    <comment ref="B33" authorId="0" shapeId="0">
      <text>
        <t>The D&amp;A assumption on Forecast Assumptions is stored as a negative percentage. Convert it to a positive expense amount on the P&amp;L so it can be subtracted from EBITDA.</t>
      </text>
    </comment>
    <comment ref="D36" authorId="0" shapeId="0">
      <text>
        <t>Provided for Task 2 only. Treat this as a positive net interest expense and subtract it from EBIT. You will replace it in Task 3 after building the cash and debt forecast.</t>
      </text>
    </comment>
    <comment ref="E36" authorId="0" shapeId="0">
      <text>
        <t>Provided for Task 2 only. Treat this as a positive net interest expense and subtract it from EBIT. You will replace it in Task 3 after building the cash and debt forecast.</t>
      </text>
    </comment>
    <comment ref="F36" authorId="0" shapeId="0">
      <text>
        <t>Provided for Task 2 only. Treat this as a positive net interest expense and subtract it from EBIT. You will replace it in Task 3 after building the cash and debt forecast.</t>
      </text>
    </comment>
    <comment ref="G36" authorId="0" shapeId="0">
      <text>
        <t>Provided for Task 2 only. Treat this as a positive net interest expense and subtract it from EBIT. You will replace it in Task 3 after building the cash and debt forecast.</t>
      </text>
    </comment>
    <comment ref="H36" authorId="0" shapeId="0">
      <text>
        <t>Provided for Task 2 only. Treat this as a positive net interest expense and subtract it from EBIT. You will replace it in Task 3 after building the cash and debt forecast.</t>
      </text>
    </comment>
    <comment ref="B38" authorId="0" shapeId="0">
      <text>
        <t>Use Profit Before Tax and the Tax Rate from Forecast Assumptions.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E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20" customWidth="1" min="3" max="3"/>
    <col width="20" customWidth="1" min="4" max="4"/>
    <col width="50" customWidth="1" min="5" max="5"/>
    <col width="4" customWidth="1" min="6" max="6"/>
  </cols>
  <sheetData>
    <row r="1" ht="30" customHeight="1">
      <c r="B1" s="1" t="inlineStr">
        <is>
          <t>Forecast Assumptions | Business Information</t>
        </is>
      </c>
    </row>
    <row r="3">
      <c r="B3" s="2" t="inlineStr">
        <is>
          <t>How to use this workbook</t>
        </is>
      </c>
    </row>
    <row r="4" ht="62" customHeight="1">
      <c r="B4" s="3" t="inlineStr">
        <is>
          <t>This business information was used to build the completed Forecast Assumptions tab in Task 1. For this task, use the completed assumptions as the inputs for your P&amp;L Forecast. Do not re-enter assumptions directly into the P&amp;L when they can be linked from the assumptions worksheet.</t>
        </is>
      </c>
    </row>
    <row r="6">
      <c r="B6" s="4" t="inlineStr">
        <is>
          <t>Revenue</t>
        </is>
      </c>
    </row>
    <row r="7">
      <c r="B7" s="5" t="inlineStr">
        <is>
          <t>Product</t>
        </is>
      </c>
      <c r="C7" s="5" t="inlineStr">
        <is>
          <t>FY2026E starting units</t>
        </is>
      </c>
      <c r="D7" s="5" t="inlineStr">
        <is>
          <t>FY2026E avg. sale price</t>
        </is>
      </c>
      <c r="E7" s="5" t="inlineStr">
        <is>
          <t>Forecast rule</t>
        </is>
      </c>
    </row>
    <row r="8" ht="52" customHeight="1">
      <c r="B8" s="6" t="inlineStr">
        <is>
          <t>Baked Goods</t>
        </is>
      </c>
      <c r="C8" s="7" t="n">
        <v>100000</v>
      </c>
      <c r="D8" s="8" t="n">
        <v>4</v>
      </c>
      <c r="E8" s="6" t="inlineStr">
        <is>
          <t>From FY2027E, unit growth is 10%. Reduce the growth rate by 1 percentage point each year thereafter (9%, 8%, 7%). Average sale price grows 4% per year from FY2027E.</t>
        </is>
      </c>
    </row>
    <row r="9" ht="52" customHeight="1">
      <c r="B9" s="6" t="inlineStr">
        <is>
          <t>Frozen Desserts</t>
        </is>
      </c>
      <c r="C9" s="7" t="n">
        <v>60000</v>
      </c>
      <c r="D9" s="8" t="n">
        <v>3</v>
      </c>
      <c r="E9" s="6" t="inlineStr">
        <is>
          <t>From FY2027E, unit growth is 10%. Reduce the growth rate by 1 percentage point each year thereafter (9%, 8%, 7%). Average sale price grows 4% per year from FY2027E.</t>
        </is>
      </c>
    </row>
    <row r="10" ht="52" customHeight="1">
      <c r="B10" s="6" t="inlineStr">
        <is>
          <t>Beverages</t>
        </is>
      </c>
      <c r="C10" s="7" t="n">
        <v>50000</v>
      </c>
      <c r="D10" s="8" t="n">
        <v>2.5</v>
      </c>
      <c r="E10" s="6" t="inlineStr">
        <is>
          <t>From FY2027E, unit growth is 10%. Reduce the growth rate by 1 percentage point each year thereafter (9%, 8%, 7%). Average sale price grows 4% per year from FY2027E.</t>
        </is>
      </c>
    </row>
    <row r="12">
      <c r="B12" s="4" t="inlineStr">
        <is>
          <t>Costs</t>
        </is>
      </c>
    </row>
    <row r="13">
      <c r="B13" s="5" t="inlineStr">
        <is>
          <t>Driver</t>
        </is>
      </c>
      <c r="C13" s="5" t="inlineStr">
        <is>
          <t>FY2026E starting value</t>
        </is>
      </c>
      <c r="D13" s="5" t="inlineStr">
        <is>
          <t>Unit</t>
        </is>
      </c>
      <c r="E13" s="5" t="inlineStr">
        <is>
          <t>Forecast rule</t>
        </is>
      </c>
    </row>
    <row r="14" ht="34" customHeight="1">
      <c r="B14" s="6" t="inlineStr">
        <is>
          <t>COGS per Baked Good</t>
        </is>
      </c>
      <c r="C14" s="8" t="n">
        <v>1.5</v>
      </c>
      <c r="D14" s="6" t="inlineStr">
        <is>
          <t>$ per unit</t>
        </is>
      </c>
      <c r="E14" s="6" t="inlineStr">
        <is>
          <t>Increase by 2% per year from FY2027E.</t>
        </is>
      </c>
    </row>
    <row r="15" ht="34" customHeight="1">
      <c r="B15" s="6" t="inlineStr">
        <is>
          <t>COGS per Frozen Dessert</t>
        </is>
      </c>
      <c r="C15" s="8" t="n">
        <v>0.8</v>
      </c>
      <c r="D15" s="6" t="inlineStr">
        <is>
          <t>$ per unit</t>
        </is>
      </c>
      <c r="E15" s="6" t="inlineStr">
        <is>
          <t>Increase by 2% per year from FY2027E.</t>
        </is>
      </c>
    </row>
    <row r="16" ht="34" customHeight="1">
      <c r="B16" s="6" t="inlineStr">
        <is>
          <t>COGS per Beverage</t>
        </is>
      </c>
      <c r="C16" s="8" t="n">
        <v>1.1</v>
      </c>
      <c r="D16" s="6" t="inlineStr">
        <is>
          <t>$ per unit</t>
        </is>
      </c>
      <c r="E16" s="6" t="inlineStr">
        <is>
          <t>Increase by 2% per year from FY2027E.</t>
        </is>
      </c>
    </row>
    <row r="17" ht="34" customHeight="1">
      <c r="B17" s="6" t="inlineStr">
        <is>
          <t>Staff Costs</t>
        </is>
      </c>
      <c r="C17" s="9" t="n">
        <v>150000</v>
      </c>
      <c r="D17" s="6" t="inlineStr">
        <is>
          <t>$</t>
        </is>
      </c>
      <c r="E17" s="6" t="inlineStr">
        <is>
          <t>Increase by 5% per year from FY2027E.</t>
        </is>
      </c>
    </row>
    <row r="18" ht="34" customHeight="1">
      <c r="B18" s="6" t="inlineStr">
        <is>
          <t>Occupancy Costs</t>
        </is>
      </c>
      <c r="C18" s="9" t="n">
        <v>60000</v>
      </c>
      <c r="D18" s="6" t="inlineStr">
        <is>
          <t>$</t>
        </is>
      </c>
      <c r="E18" s="6" t="inlineStr">
        <is>
          <t>Increase by 3% per year from FY2027E.</t>
        </is>
      </c>
    </row>
    <row r="19" ht="34" customHeight="1">
      <c r="B19" s="6" t="inlineStr">
        <is>
          <t>Marketing Costs</t>
        </is>
      </c>
      <c r="C19" s="9" t="n">
        <v>10000</v>
      </c>
      <c r="D19" s="6" t="inlineStr">
        <is>
          <t>$</t>
        </is>
      </c>
      <c r="E19" s="6" t="inlineStr">
        <is>
          <t>Increase by 5% per year from FY2027E.</t>
        </is>
      </c>
    </row>
    <row r="20" ht="34" customHeight="1">
      <c r="B20" s="6" t="inlineStr">
        <is>
          <t>Other Operating Costs</t>
        </is>
      </c>
      <c r="C20" s="9" t="n">
        <v>5000</v>
      </c>
      <c r="D20" s="6" t="inlineStr">
        <is>
          <t>$</t>
        </is>
      </c>
      <c r="E20" s="6" t="inlineStr">
        <is>
          <t>Increase by 5% per year from FY2027E.</t>
        </is>
      </c>
    </row>
    <row r="21" ht="48" customHeight="1">
      <c r="B21" s="6" t="inlineStr">
        <is>
          <t>Annual D&amp;A</t>
        </is>
      </c>
      <c r="C21" s="10" t="n">
        <v>-0.05</v>
      </c>
      <c r="D21" s="6" t="inlineStr">
        <is>
          <t>% of revenue</t>
        </is>
      </c>
      <c r="E21" s="6" t="inlineStr">
        <is>
          <t>Increase by 0.25 percentage points each year (for example, -5.00% becomes -4.75% in FY2027E).</t>
        </is>
      </c>
    </row>
    <row r="23">
      <c r="B23" s="4" t="inlineStr">
        <is>
          <t>Cash Flow</t>
        </is>
      </c>
    </row>
    <row r="24">
      <c r="B24" s="5" t="inlineStr">
        <is>
          <t>Driver</t>
        </is>
      </c>
      <c r="C24" s="5" t="inlineStr">
        <is>
          <t>Starting value</t>
        </is>
      </c>
      <c r="D24" s="5" t="inlineStr">
        <is>
          <t>Unit</t>
        </is>
      </c>
      <c r="E24" s="5" t="inlineStr">
        <is>
          <t>Forecast rule</t>
        </is>
      </c>
    </row>
    <row r="25" ht="38" customHeight="1">
      <c r="B25" s="6" t="inlineStr">
        <is>
          <t>Capital Expenditure (CapEx)</t>
        </is>
      </c>
      <c r="C25" s="6" t="inlineStr">
        <is>
          <t>Linked to D&amp;A</t>
        </is>
      </c>
      <c r="D25" s="6" t="inlineStr">
        <is>
          <t>% of revenue</t>
        </is>
      </c>
      <c r="E25" s="6" t="inlineStr">
        <is>
          <t>Set CapEx equal to the Annual D&amp;A percentage in each forecast year.</t>
        </is>
      </c>
    </row>
    <row r="26" ht="38" customHeight="1">
      <c r="B26" s="6" t="inlineStr">
        <is>
          <t>Change in Net Working Capital (NWC)</t>
        </is>
      </c>
      <c r="C26" s="11" t="n">
        <v>-0.01</v>
      </c>
      <c r="D26" s="6" t="inlineStr">
        <is>
          <t>% of revenue</t>
        </is>
      </c>
      <c r="E26" s="6" t="inlineStr">
        <is>
          <t>Use -1.0% of revenue in every forecast year.</t>
        </is>
      </c>
    </row>
    <row r="27" ht="38" customHeight="1">
      <c r="B27" s="6" t="inlineStr">
        <is>
          <t>Dividend Payout Ratio</t>
        </is>
      </c>
      <c r="C27" s="11" t="n">
        <v>0.6</v>
      </c>
      <c r="D27" s="6" t="inlineStr">
        <is>
          <t>%</t>
        </is>
      </c>
      <c r="E27" s="6" t="inlineStr">
        <is>
          <t>Use 60.0% in every forecast year.</t>
        </is>
      </c>
    </row>
    <row r="29">
      <c r="B29" s="4" t="inlineStr">
        <is>
          <t>Other</t>
        </is>
      </c>
    </row>
    <row r="30">
      <c r="B30" s="5" t="inlineStr">
        <is>
          <t>Driver</t>
        </is>
      </c>
      <c r="C30" s="5" t="inlineStr">
        <is>
          <t>Starting value</t>
        </is>
      </c>
      <c r="D30" s="5" t="inlineStr">
        <is>
          <t>Unit</t>
        </is>
      </c>
      <c r="E30" s="5" t="inlineStr">
        <is>
          <t>Forecast rule</t>
        </is>
      </c>
    </row>
    <row r="31" ht="30" customHeight="1">
      <c r="B31" s="6" t="inlineStr">
        <is>
          <t>Tax Rate</t>
        </is>
      </c>
      <c r="C31" s="11" t="n">
        <v>0.21</v>
      </c>
      <c r="D31" s="6" t="inlineStr">
        <is>
          <t>%</t>
        </is>
      </c>
      <c r="E31" s="6" t="inlineStr">
        <is>
          <t>Use 21.0% in every forecast year.</t>
        </is>
      </c>
    </row>
    <row r="32" ht="30" customHeight="1">
      <c r="B32" s="6" t="inlineStr">
        <is>
          <t>Debt Interest Rate</t>
        </is>
      </c>
      <c r="C32" s="11" t="n">
        <v>0.04</v>
      </c>
      <c r="D32" s="6" t="inlineStr">
        <is>
          <t>%</t>
        </is>
      </c>
      <c r="E32" s="6" t="inlineStr">
        <is>
          <t>Use 4.0% in every forecast year.</t>
        </is>
      </c>
    </row>
    <row r="33" ht="30" customHeight="1">
      <c r="B33" s="6" t="inlineStr">
        <is>
          <t>Cash Interest Rate</t>
        </is>
      </c>
      <c r="C33" s="11" t="n">
        <v>0.01</v>
      </c>
      <c r="D33" s="6" t="inlineStr">
        <is>
          <t>%</t>
        </is>
      </c>
      <c r="E33" s="6" t="inlineStr">
        <is>
          <t>Use 1.0% in every forecast year.</t>
        </is>
      </c>
    </row>
  </sheetData>
  <mergeCells count="7">
    <mergeCell ref="B23:E23"/>
    <mergeCell ref="B1:E1"/>
    <mergeCell ref="B4:E4"/>
    <mergeCell ref="B12:E12"/>
    <mergeCell ref="B6:E6"/>
    <mergeCell ref="B29:E29"/>
    <mergeCell ref="B3:E3"/>
  </mergeCells>
  <printOptions horizontalCentered="1"/>
  <pageMargins left="0.75" right="0.75" top="1" bottom="1" header="0.5" footer="0.5"/>
  <pageSetup fitToHeight="0" fitToWidth="1"/>
  <headerFooter>
    <oddHeader/>
    <oddFooter>&amp;C&amp;8 Excel in Business | Forecast Assumptions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H40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" customWidth="1" min="9" max="9"/>
  </cols>
  <sheetData>
    <row r="1" ht="30" customHeight="1">
      <c r="B1" s="12" t="inlineStr">
        <is>
          <t>Forecast Assumptions</t>
        </is>
      </c>
    </row>
    <row r="2" ht="30" customHeight="1">
      <c r="B2" s="13" t="inlineStr">
        <is>
          <t>This worksheet contains the completed forecast assumptions from Task 1. Use these values as inputs for the P&amp;L Forecast and link to them rather than retyping them.</t>
        </is>
      </c>
    </row>
    <row r="4" ht="24" customHeight="1">
      <c r="B4" s="14" t="inlineStr">
        <is>
          <t>Driver</t>
        </is>
      </c>
      <c r="C4" s="14" t="inlineStr">
        <is>
          <t>Unit</t>
        </is>
      </c>
      <c r="D4" s="14" t="inlineStr">
        <is>
          <t>FY2026E</t>
        </is>
      </c>
      <c r="E4" s="14" t="inlineStr">
        <is>
          <t>FY2027E</t>
        </is>
      </c>
      <c r="F4" s="14" t="inlineStr">
        <is>
          <t>FY2028E</t>
        </is>
      </c>
      <c r="G4" s="14" t="inlineStr">
        <is>
          <t>FY2029E</t>
        </is>
      </c>
      <c r="H4" s="14" t="inlineStr">
        <is>
          <t>FY2030E</t>
        </is>
      </c>
    </row>
    <row r="6">
      <c r="B6" s="4" t="inlineStr">
        <is>
          <t>Revenue</t>
        </is>
      </c>
    </row>
    <row r="7" ht="21" customHeight="1">
      <c r="B7" s="15" t="inlineStr">
        <is>
          <t>Baked Goods</t>
        </is>
      </c>
    </row>
    <row r="8" ht="21" customHeight="1">
      <c r="B8" s="16" t="inlineStr">
        <is>
          <t>Number of Units Sold</t>
        </is>
      </c>
      <c r="C8" s="17" t="inlineStr">
        <is>
          <t>#</t>
        </is>
      </c>
      <c r="D8" s="24" t="n">
        <v>100000</v>
      </c>
      <c r="E8" s="25">
        <f>D8*(1+10%)</f>
        <v/>
      </c>
      <c r="F8" s="25">
        <f>E8*(1+9%)</f>
        <v/>
      </c>
      <c r="G8" s="25">
        <f>F8*(1+8%)</f>
        <v/>
      </c>
      <c r="H8" s="25">
        <f>G8*(1+7%)</f>
        <v/>
      </c>
    </row>
    <row r="9" ht="21" customHeight="1">
      <c r="B9" s="16" t="inlineStr">
        <is>
          <t>Average Sale Price</t>
        </is>
      </c>
      <c r="C9" s="17" t="inlineStr">
        <is>
          <t>$</t>
        </is>
      </c>
      <c r="D9" s="26" t="n">
        <v>4</v>
      </c>
      <c r="E9" s="27">
        <f>D9*(1+4%)</f>
        <v/>
      </c>
      <c r="F9" s="27">
        <f>E9*(1+4%)</f>
        <v/>
      </c>
      <c r="G9" s="27">
        <f>F9*(1+4%)</f>
        <v/>
      </c>
      <c r="H9" s="27">
        <f>G9*(1+4%)</f>
        <v/>
      </c>
    </row>
    <row r="10" ht="21" customHeight="1">
      <c r="B10" s="15" t="inlineStr">
        <is>
          <t>Frozen Desserts</t>
        </is>
      </c>
    </row>
    <row r="11" ht="21" customHeight="1">
      <c r="B11" s="16" t="inlineStr">
        <is>
          <t>Number of Units Sold</t>
        </is>
      </c>
      <c r="C11" s="17" t="inlineStr">
        <is>
          <t>#</t>
        </is>
      </c>
      <c r="D11" s="24" t="n">
        <v>60000</v>
      </c>
      <c r="E11" s="25">
        <f>D11*(1+10%)</f>
        <v/>
      </c>
      <c r="F11" s="25">
        <f>E11*(1+9%)</f>
        <v/>
      </c>
      <c r="G11" s="25">
        <f>F11*(1+8%)</f>
        <v/>
      </c>
      <c r="H11" s="25">
        <f>G11*(1+7%)</f>
        <v/>
      </c>
    </row>
    <row r="12" ht="21" customHeight="1">
      <c r="B12" s="16" t="inlineStr">
        <is>
          <t>Average Sale Price</t>
        </is>
      </c>
      <c r="C12" s="17" t="inlineStr">
        <is>
          <t>$</t>
        </is>
      </c>
      <c r="D12" s="26" t="n">
        <v>3</v>
      </c>
      <c r="E12" s="27">
        <f>D12*(1+4%)</f>
        <v/>
      </c>
      <c r="F12" s="27">
        <f>E12*(1+4%)</f>
        <v/>
      </c>
      <c r="G12" s="27">
        <f>F12*(1+4%)</f>
        <v/>
      </c>
      <c r="H12" s="27">
        <f>G12*(1+4%)</f>
        <v/>
      </c>
    </row>
    <row r="13" ht="21" customHeight="1">
      <c r="B13" s="15" t="inlineStr">
        <is>
          <t>Beverages</t>
        </is>
      </c>
    </row>
    <row r="14" ht="21" customHeight="1">
      <c r="B14" s="16" t="inlineStr">
        <is>
          <t>Number of Units Sold</t>
        </is>
      </c>
      <c r="C14" s="17" t="inlineStr">
        <is>
          <t>#</t>
        </is>
      </c>
      <c r="D14" s="24" t="n">
        <v>50000</v>
      </c>
      <c r="E14" s="25">
        <f>D14*(1+10%)</f>
        <v/>
      </c>
      <c r="F14" s="25">
        <f>E14*(1+9%)</f>
        <v/>
      </c>
      <c r="G14" s="25">
        <f>F14*(1+8%)</f>
        <v/>
      </c>
      <c r="H14" s="25">
        <f>G14*(1+7%)</f>
        <v/>
      </c>
    </row>
    <row r="15" ht="21" customHeight="1">
      <c r="B15" s="16" t="inlineStr">
        <is>
          <t>Average Sale Price</t>
        </is>
      </c>
      <c r="C15" s="17" t="inlineStr">
        <is>
          <t>$</t>
        </is>
      </c>
      <c r="D15" s="26" t="n">
        <v>2.5</v>
      </c>
      <c r="E15" s="27">
        <f>D15*(1+4%)</f>
        <v/>
      </c>
      <c r="F15" s="27">
        <f>E15*(1+4%)</f>
        <v/>
      </c>
      <c r="G15" s="27">
        <f>F15*(1+4%)</f>
        <v/>
      </c>
      <c r="H15" s="27">
        <f>G15*(1+4%)</f>
        <v/>
      </c>
    </row>
    <row r="17">
      <c r="B17" s="4" t="inlineStr">
        <is>
          <t>Costs</t>
        </is>
      </c>
    </row>
    <row r="18" ht="21" customHeight="1">
      <c r="B18" s="15" t="inlineStr">
        <is>
          <t>Cost of Goods Sold (COGS)</t>
        </is>
      </c>
    </row>
    <row r="19" ht="21" customHeight="1">
      <c r="B19" s="16" t="inlineStr">
        <is>
          <t>COGS per Baked Good</t>
        </is>
      </c>
      <c r="C19" s="17" t="inlineStr">
        <is>
          <t>$ per unit</t>
        </is>
      </c>
      <c r="D19" s="28" t="n">
        <v>1.5</v>
      </c>
      <c r="E19" s="29">
        <f>D19*(1+0.02)</f>
        <v/>
      </c>
      <c r="F19" s="29">
        <f>E19*(1+0.02)</f>
        <v/>
      </c>
      <c r="G19" s="29">
        <f>F19*(1+0.02)</f>
        <v/>
      </c>
      <c r="H19" s="29">
        <f>G19*(1+0.02)</f>
        <v/>
      </c>
    </row>
    <row r="20" ht="21" customHeight="1">
      <c r="B20" s="16" t="inlineStr">
        <is>
          <t>COGS per Frozen Dessert</t>
        </is>
      </c>
      <c r="C20" s="17" t="inlineStr">
        <is>
          <t>$ per unit</t>
        </is>
      </c>
      <c r="D20" s="28" t="n">
        <v>0.8</v>
      </c>
      <c r="E20" s="29">
        <f>D20*(1+0.02)</f>
        <v/>
      </c>
      <c r="F20" s="29">
        <f>E20*(1+0.02)</f>
        <v/>
      </c>
      <c r="G20" s="29">
        <f>F20*(1+0.02)</f>
        <v/>
      </c>
      <c r="H20" s="29">
        <f>G20*(1+0.02)</f>
        <v/>
      </c>
    </row>
    <row r="21" ht="21" customHeight="1">
      <c r="B21" s="16" t="inlineStr">
        <is>
          <t>COGS per Beverage</t>
        </is>
      </c>
      <c r="C21" s="17" t="inlineStr">
        <is>
          <t>$ per unit</t>
        </is>
      </c>
      <c r="D21" s="28" t="n">
        <v>1.1</v>
      </c>
      <c r="E21" s="29">
        <f>D21*(1+0.02)</f>
        <v/>
      </c>
      <c r="F21" s="29">
        <f>E21*(1+0.02)</f>
        <v/>
      </c>
      <c r="G21" s="29">
        <f>F21*(1+0.02)</f>
        <v/>
      </c>
      <c r="H21" s="29">
        <f>G21*(1+0.02)</f>
        <v/>
      </c>
    </row>
    <row r="22" ht="21" customHeight="1">
      <c r="B22" s="15" t="inlineStr">
        <is>
          <t>Operating Expenses (OpEx)</t>
        </is>
      </c>
    </row>
    <row r="23" ht="21" customHeight="1">
      <c r="B23" s="16" t="inlineStr">
        <is>
          <t>Staff Costs</t>
        </is>
      </c>
      <c r="C23" s="17" t="inlineStr">
        <is>
          <t>$</t>
        </is>
      </c>
      <c r="D23" s="26" t="n">
        <v>150000</v>
      </c>
      <c r="E23" s="27">
        <f>D23*(1+0.05)</f>
        <v/>
      </c>
      <c r="F23" s="27">
        <f>E23*(1+0.05)</f>
        <v/>
      </c>
      <c r="G23" s="27">
        <f>F23*(1+0.05)</f>
        <v/>
      </c>
      <c r="H23" s="27">
        <f>G23*(1+0.05)</f>
        <v/>
      </c>
    </row>
    <row r="24" ht="21" customHeight="1">
      <c r="B24" s="16" t="inlineStr">
        <is>
          <t>Occupancy Costs</t>
        </is>
      </c>
      <c r="C24" s="17" t="inlineStr">
        <is>
          <t>$</t>
        </is>
      </c>
      <c r="D24" s="26" t="n">
        <v>60000</v>
      </c>
      <c r="E24" s="27">
        <f>D24*(1+0.03)</f>
        <v/>
      </c>
      <c r="F24" s="27">
        <f>E24*(1+0.03)</f>
        <v/>
      </c>
      <c r="G24" s="27">
        <f>F24*(1+0.03)</f>
        <v/>
      </c>
      <c r="H24" s="27">
        <f>G24*(1+0.03)</f>
        <v/>
      </c>
    </row>
    <row r="25" ht="21" customHeight="1">
      <c r="B25" s="16" t="inlineStr">
        <is>
          <t>Marketing Costs</t>
        </is>
      </c>
      <c r="C25" s="17" t="inlineStr">
        <is>
          <t>$</t>
        </is>
      </c>
      <c r="D25" s="26" t="n">
        <v>10000</v>
      </c>
      <c r="E25" s="27">
        <f>D25*(1+0.05)</f>
        <v/>
      </c>
      <c r="F25" s="27">
        <f>E25*(1+0.05)</f>
        <v/>
      </c>
      <c r="G25" s="27">
        <f>F25*(1+0.05)</f>
        <v/>
      </c>
      <c r="H25" s="27">
        <f>G25*(1+0.05)</f>
        <v/>
      </c>
    </row>
    <row r="26" ht="21" customHeight="1">
      <c r="B26" s="16" t="inlineStr">
        <is>
          <t>Other Operating Costs</t>
        </is>
      </c>
      <c r="C26" s="17" t="inlineStr">
        <is>
          <t>$</t>
        </is>
      </c>
      <c r="D26" s="26" t="n">
        <v>5000</v>
      </c>
      <c r="E26" s="27">
        <f>D26*(1+0.05)</f>
        <v/>
      </c>
      <c r="F26" s="27">
        <f>E26*(1+0.05)</f>
        <v/>
      </c>
      <c r="G26" s="27">
        <f>F26*(1+0.05)</f>
        <v/>
      </c>
      <c r="H26" s="27">
        <f>G26*(1+0.05)</f>
        <v/>
      </c>
    </row>
    <row r="27" ht="21" customHeight="1">
      <c r="B27" s="15" t="inlineStr">
        <is>
          <t>Depreciation &amp; Amortization (D&amp;A)</t>
        </is>
      </c>
    </row>
    <row r="28" ht="21" customHeight="1">
      <c r="B28" s="16" t="inlineStr">
        <is>
          <t>Annual D&amp;A</t>
        </is>
      </c>
      <c r="C28" s="17" t="inlineStr">
        <is>
          <t>% of revenue</t>
        </is>
      </c>
      <c r="D28" s="30" t="n">
        <v>-0.05</v>
      </c>
      <c r="E28" s="31">
        <f>D28+0.0025</f>
        <v/>
      </c>
      <c r="F28" s="31">
        <f>E28+0.0025</f>
        <v/>
      </c>
      <c r="G28" s="31">
        <f>F28+0.0025</f>
        <v/>
      </c>
      <c r="H28" s="31">
        <f>G28+0.0025</f>
        <v/>
      </c>
    </row>
    <row r="30">
      <c r="B30" s="4" t="inlineStr">
        <is>
          <t>Cash Flow</t>
        </is>
      </c>
    </row>
    <row r="31" ht="21" customHeight="1">
      <c r="B31" s="16" t="inlineStr">
        <is>
          <t>Capital Expenditure (CapEx)</t>
        </is>
      </c>
      <c r="C31" s="17" t="inlineStr">
        <is>
          <t>% of revenue</t>
        </is>
      </c>
      <c r="D31" s="31">
        <f>D28</f>
        <v/>
      </c>
      <c r="E31" s="31">
        <f>E28</f>
        <v/>
      </c>
      <c r="F31" s="31">
        <f>F28</f>
        <v/>
      </c>
      <c r="G31" s="31">
        <f>G28</f>
        <v/>
      </c>
      <c r="H31" s="31">
        <f>H28</f>
        <v/>
      </c>
    </row>
    <row r="32" ht="21" customHeight="1">
      <c r="B32" s="16" t="inlineStr">
        <is>
          <t>Change in Net Working Capital (NWC)</t>
        </is>
      </c>
      <c r="C32" s="17" t="inlineStr">
        <is>
          <t>% of revenue</t>
        </is>
      </c>
      <c r="D32" s="30" t="n">
        <v>-0.01</v>
      </c>
      <c r="E32" s="30" t="n">
        <v>-0.01</v>
      </c>
      <c r="F32" s="30" t="n">
        <v>-0.01</v>
      </c>
      <c r="G32" s="30" t="n">
        <v>-0.01</v>
      </c>
      <c r="H32" s="30" t="n">
        <v>-0.01</v>
      </c>
    </row>
    <row r="33" ht="21" customHeight="1">
      <c r="B33" s="16" t="inlineStr">
        <is>
          <t>Dividend Payout Ratio</t>
        </is>
      </c>
      <c r="C33" s="17" t="inlineStr">
        <is>
          <t>%</t>
        </is>
      </c>
      <c r="D33" s="30" t="n">
        <v>0.6</v>
      </c>
      <c r="E33" s="30" t="n">
        <v>0.6</v>
      </c>
      <c r="F33" s="30" t="n">
        <v>0.6</v>
      </c>
      <c r="G33" s="30" t="n">
        <v>0.6</v>
      </c>
      <c r="H33" s="30" t="n">
        <v>0.6</v>
      </c>
    </row>
    <row r="35">
      <c r="B35" s="4" t="inlineStr">
        <is>
          <t>Other</t>
        </is>
      </c>
    </row>
    <row r="36" ht="21" customHeight="1">
      <c r="B36" s="16" t="inlineStr">
        <is>
          <t>Tax Rate</t>
        </is>
      </c>
      <c r="C36" s="17" t="inlineStr">
        <is>
          <t>%</t>
        </is>
      </c>
      <c r="D36" s="30" t="n">
        <v>0.21</v>
      </c>
      <c r="E36" s="30" t="n">
        <v>0.21</v>
      </c>
      <c r="F36" s="30" t="n">
        <v>0.21</v>
      </c>
      <c r="G36" s="30" t="n">
        <v>0.21</v>
      </c>
      <c r="H36" s="30" t="n">
        <v>0.21</v>
      </c>
    </row>
    <row r="37" ht="21" customHeight="1">
      <c r="B37" s="16" t="inlineStr">
        <is>
          <t>Debt Interest Rate</t>
        </is>
      </c>
      <c r="C37" s="17" t="inlineStr">
        <is>
          <t>%</t>
        </is>
      </c>
      <c r="D37" s="30" t="n">
        <v>0.04</v>
      </c>
      <c r="E37" s="30" t="n">
        <v>0.04</v>
      </c>
      <c r="F37" s="30" t="n">
        <v>0.04</v>
      </c>
      <c r="G37" s="30" t="n">
        <v>0.04</v>
      </c>
      <c r="H37" s="30" t="n">
        <v>0.04</v>
      </c>
    </row>
    <row r="38" ht="21" customHeight="1">
      <c r="B38" s="16" t="inlineStr">
        <is>
          <t>Cash Interest Rate</t>
        </is>
      </c>
      <c r="C38" s="17" t="inlineStr">
        <is>
          <t>%</t>
        </is>
      </c>
      <c r="D38" s="30" t="n">
        <v>0.01</v>
      </c>
      <c r="E38" s="30" t="n">
        <v>0.01</v>
      </c>
      <c r="F38" s="30" t="n">
        <v>0.01</v>
      </c>
      <c r="G38" s="30" t="n">
        <v>0.01</v>
      </c>
      <c r="H38" s="30" t="n">
        <v>0.01</v>
      </c>
    </row>
    <row r="40">
      <c r="B40" s="13" t="inlineStr">
        <is>
          <t>Tip: Check that percentages, dollar values, and unit counts use the correct number format before submitting your workbook.</t>
        </is>
      </c>
    </row>
  </sheetData>
  <mergeCells count="13">
    <mergeCell ref="B22:H22"/>
    <mergeCell ref="B17:H17"/>
    <mergeCell ref="B18:H18"/>
    <mergeCell ref="B1:H1"/>
    <mergeCell ref="B13:H13"/>
    <mergeCell ref="B27:H27"/>
    <mergeCell ref="B35:H35"/>
    <mergeCell ref="B40:H40"/>
    <mergeCell ref="B6:H6"/>
    <mergeCell ref="B30:H30"/>
    <mergeCell ref="B2:H2"/>
    <mergeCell ref="B10:H10"/>
    <mergeCell ref="B7:H7"/>
  </mergeCells>
  <printOptions horizontalCentered="1"/>
  <pageMargins left="0.75" right="0.75" top="1" bottom="1" header="0.5" footer="0.5"/>
  <pageSetup fitToHeight="0" fitToWidth="1"/>
  <headerFooter>
    <oddHeader/>
    <oddFooter>&amp;C&amp;8 Excel in Business | Forecast Assumptions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C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5" customWidth="1" min="3" max="3"/>
  </cols>
  <sheetData>
    <row r="1" ht="30" customHeight="1">
      <c r="B1" s="12" t="inlineStr">
        <is>
          <t>Financial Modeling Glossary</t>
        </is>
      </c>
    </row>
    <row r="3">
      <c r="B3" s="22" t="inlineStr">
        <is>
          <t>Term</t>
        </is>
      </c>
      <c r="C3" s="22" t="inlineStr">
        <is>
          <t>Definition</t>
        </is>
      </c>
    </row>
    <row r="4" ht="48" customHeight="1">
      <c r="B4" s="23" t="inlineStr">
        <is>
          <t>Capital Expenditure (CapEx)</t>
        </is>
      </c>
      <c r="C4" s="6" t="inlineStr">
        <is>
          <t>Spending on long-term assets such as equipment, property, or technology that supports the business over multiple periods.</t>
        </is>
      </c>
    </row>
    <row r="5" ht="48" customHeight="1">
      <c r="B5" s="23" t="inlineStr">
        <is>
          <t>Cost of Goods Sold (COGS)</t>
        </is>
      </c>
      <c r="C5" s="6" t="inlineStr">
        <is>
          <t>The direct costs associated with producing the goods or services sold by a business.</t>
        </is>
      </c>
    </row>
    <row r="6" ht="48" customHeight="1">
      <c r="B6" s="23" t="inlineStr">
        <is>
          <t>Depreciation &amp; Amortization (D&amp;A)</t>
        </is>
      </c>
      <c r="C6" s="6" t="inlineStr">
        <is>
          <t>Non-cash expenses that allocate the cost of tangible and intangible assets over their useful lives.</t>
        </is>
      </c>
    </row>
    <row r="7" ht="48" customHeight="1">
      <c r="B7" s="23" t="inlineStr">
        <is>
          <t>Dividend Payout Ratio</t>
        </is>
      </c>
      <c r="C7" s="6" t="inlineStr">
        <is>
          <t>The percentage of net profit distributed to shareholders as dividends.</t>
        </is>
      </c>
    </row>
    <row r="8" ht="48" customHeight="1">
      <c r="B8" s="23" t="inlineStr">
        <is>
          <t>EBITDA</t>
        </is>
      </c>
      <c r="C8" s="6" t="inlineStr">
        <is>
          <t>Earnings before interest, taxes, depreciation, and amortization. It is commonly used as a measure of operating profitability before financing, tax, and non-cash D&amp;A expenses.</t>
        </is>
      </c>
    </row>
    <row r="9" ht="48" customHeight="1">
      <c r="B9" s="23" t="inlineStr">
        <is>
          <t>EBIT</t>
        </is>
      </c>
      <c r="C9" s="6" t="inlineStr">
        <is>
          <t>Earnings before interest and taxes. It represents operating profit after depreciation and amortization.</t>
        </is>
      </c>
    </row>
    <row r="10" ht="48" customHeight="1">
      <c r="B10" s="23" t="inlineStr">
        <is>
          <t>Net Working Capital (NWC)</t>
        </is>
      </c>
      <c r="C10" s="6" t="inlineStr">
        <is>
          <t>A measure of short-term operating assets and liabilities. Changes in NWC can either use or release cash.</t>
        </is>
      </c>
    </row>
    <row r="11" ht="48" customHeight="1">
      <c r="B11" s="23" t="inlineStr">
        <is>
          <t>Operating Expenses (OpEx)</t>
        </is>
      </c>
      <c r="C11" s="6" t="inlineStr">
        <is>
          <t>Ongoing costs of running the business that are not direct product costs, such as staff, occupancy, marketing, and administrative costs.</t>
        </is>
      </c>
    </row>
    <row r="12" ht="48" customHeight="1">
      <c r="B12" s="23" t="inlineStr">
        <is>
          <t>Profit &amp; Loss Statement (P&amp;L)</t>
        </is>
      </c>
      <c r="C12" s="6" t="inlineStr">
        <is>
          <t>A financial statement that summarizes revenue, expenses, and profit or loss over a period of time.</t>
        </is>
      </c>
    </row>
    <row r="13" ht="48" customHeight="1">
      <c r="B13" s="23" t="inlineStr">
        <is>
          <t>Working Capital</t>
        </is>
      </c>
      <c r="C13" s="6" t="inlineStr">
        <is>
          <t>The short-term resources needed to support day-to-day operations, including items such as receivables, inventory, and payables.</t>
        </is>
      </c>
    </row>
  </sheetData>
  <mergeCells count="1">
    <mergeCell ref="B1:C1"/>
  </mergeCells>
  <printOptions horizontalCentered="1"/>
  <pageMargins left="0.75" right="0.75" top="1" bottom="1" header="0.5" footer="0.5"/>
  <pageSetup fitToHeight="0" fitToWidth="1"/>
  <headerFooter>
    <oddHeader/>
    <oddFooter>&amp;C&amp;8 Excel in Business | Forecast Assumptions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1:H50"/>
  <sheetViews>
    <sheetView showGridLines="0" zoomScale="9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3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8" customHeight="1">
      <c r="B1" s="1" t="inlineStr">
        <is>
          <t>P&amp;L Forecast</t>
        </is>
      </c>
    </row>
    <row r="2" ht="30" customHeight="1">
      <c r="B2" s="32" t="inlineStr">
        <is>
          <t>Complete every light-blue cell. Link forecast inputs to the Forecast Assumptions worksheet, then build the P&amp;L calculations across FY2026E–FY2030E.</t>
        </is>
      </c>
    </row>
    <row r="4" ht="22" customHeight="1">
      <c r="B4" s="33" t="inlineStr">
        <is>
          <t>P&amp;L Line</t>
        </is>
      </c>
      <c r="C4" s="14" t="inlineStr">
        <is>
          <t>Unit</t>
        </is>
      </c>
      <c r="D4" s="14" t="inlineStr">
        <is>
          <t>FY2026E</t>
        </is>
      </c>
      <c r="E4" s="14" t="inlineStr">
        <is>
          <t>FY2027E</t>
        </is>
      </c>
      <c r="F4" s="14" t="inlineStr">
        <is>
          <t>FY2028E</t>
        </is>
      </c>
      <c r="G4" s="14" t="inlineStr">
        <is>
          <t>FY2029E</t>
        </is>
      </c>
      <c r="H4" s="14" t="inlineStr">
        <is>
          <t>FY2030E</t>
        </is>
      </c>
    </row>
    <row r="5" ht="20" customHeight="1">
      <c r="C5" s="34" t="n"/>
    </row>
    <row r="6" ht="21" customHeight="1">
      <c r="B6" s="35" t="inlineStr">
        <is>
          <t>Revenue</t>
        </is>
      </c>
    </row>
    <row r="7" ht="20" customHeight="1">
      <c r="B7" s="36" t="inlineStr">
        <is>
          <t>Baked Goods Revenue</t>
        </is>
      </c>
      <c r="C7" s="37" t="inlineStr">
        <is>
          <t>$</t>
        </is>
      </c>
      <c r="D7" s="38" t="n"/>
      <c r="E7" s="38" t="n"/>
      <c r="F7" s="38" t="n"/>
      <c r="G7" s="38" t="n"/>
      <c r="H7" s="38" t="n"/>
    </row>
    <row r="8" ht="20" customHeight="1">
      <c r="B8" s="36" t="inlineStr">
        <is>
          <t>Frozen Desserts Revenue</t>
        </is>
      </c>
      <c r="C8" s="37" t="inlineStr">
        <is>
          <t>$</t>
        </is>
      </c>
      <c r="D8" s="38" t="n"/>
      <c r="E8" s="38" t="n"/>
      <c r="F8" s="38" t="n"/>
      <c r="G8" s="38" t="n"/>
      <c r="H8" s="38" t="n"/>
    </row>
    <row r="9" ht="20" customHeight="1">
      <c r="B9" s="36" t="inlineStr">
        <is>
          <t>Beverages Revenue</t>
        </is>
      </c>
      <c r="C9" s="37" t="inlineStr">
        <is>
          <t>$</t>
        </is>
      </c>
      <c r="D9" s="38" t="n"/>
      <c r="E9" s="38" t="n"/>
      <c r="F9" s="38" t="n"/>
      <c r="G9" s="38" t="n"/>
      <c r="H9" s="38" t="n"/>
    </row>
    <row r="10" ht="20" customHeight="1">
      <c r="B10" s="39" t="inlineStr">
        <is>
          <t>Total Revenue</t>
        </is>
      </c>
      <c r="C10" s="40" t="inlineStr">
        <is>
          <t>$</t>
        </is>
      </c>
      <c r="D10" s="41" t="n"/>
      <c r="E10" s="41" t="n"/>
      <c r="F10" s="41" t="n"/>
      <c r="G10" s="41" t="n"/>
      <c r="H10" s="41" t="n"/>
    </row>
    <row r="11" ht="20" customHeight="1">
      <c r="B11" s="42" t="inlineStr">
        <is>
          <t>Revenue Growth</t>
        </is>
      </c>
      <c r="C11" s="37" t="inlineStr">
        <is>
          <t>%</t>
        </is>
      </c>
      <c r="D11" s="43" t="inlineStr">
        <is>
          <t>—</t>
        </is>
      </c>
      <c r="E11" s="44" t="n"/>
      <c r="F11" s="44" t="n"/>
      <c r="G11" s="44" t="n"/>
      <c r="H11" s="44" t="n"/>
    </row>
    <row r="12" ht="20" customHeight="1">
      <c r="C12" s="34" t="n"/>
    </row>
    <row r="13" ht="21" customHeight="1">
      <c r="B13" s="35" t="inlineStr">
        <is>
          <t>Cost of Goods Sold</t>
        </is>
      </c>
    </row>
    <row r="14" ht="20" customHeight="1">
      <c r="B14" s="36" t="inlineStr">
        <is>
          <t>Baked Goods COGS</t>
        </is>
      </c>
      <c r="C14" s="37" t="inlineStr">
        <is>
          <t>$</t>
        </is>
      </c>
      <c r="D14" s="38" t="n"/>
      <c r="E14" s="38" t="n"/>
      <c r="F14" s="38" t="n"/>
      <c r="G14" s="38" t="n"/>
      <c r="H14" s="38" t="n"/>
    </row>
    <row r="15" ht="20" customHeight="1">
      <c r="B15" s="36" t="inlineStr">
        <is>
          <t>Frozen Desserts COGS</t>
        </is>
      </c>
      <c r="C15" s="37" t="inlineStr">
        <is>
          <t>$</t>
        </is>
      </c>
      <c r="D15" s="38" t="n"/>
      <c r="E15" s="38" t="n"/>
      <c r="F15" s="38" t="n"/>
      <c r="G15" s="38" t="n"/>
      <c r="H15" s="38" t="n"/>
    </row>
    <row r="16" ht="20" customHeight="1">
      <c r="B16" s="36" t="inlineStr">
        <is>
          <t>Beverages COGS</t>
        </is>
      </c>
      <c r="C16" s="37" t="inlineStr">
        <is>
          <t>$</t>
        </is>
      </c>
      <c r="D16" s="38" t="n"/>
      <c r="E16" s="38" t="n"/>
      <c r="F16" s="38" t="n"/>
      <c r="G16" s="38" t="n"/>
      <c r="H16" s="38" t="n"/>
    </row>
    <row r="17" ht="20" customHeight="1">
      <c r="B17" s="39" t="inlineStr">
        <is>
          <t>Total Cost of Goods Sold</t>
        </is>
      </c>
      <c r="C17" s="40" t="inlineStr">
        <is>
          <t>$</t>
        </is>
      </c>
      <c r="D17" s="41" t="n"/>
      <c r="E17" s="41" t="n"/>
      <c r="F17" s="41" t="n"/>
      <c r="G17" s="41" t="n"/>
      <c r="H17" s="41" t="n"/>
    </row>
    <row r="18" ht="20" customHeight="1">
      <c r="C18" s="34" t="n"/>
    </row>
    <row r="19" ht="20" customHeight="1">
      <c r="B19" s="45" t="inlineStr">
        <is>
          <t>Gross Profit</t>
        </is>
      </c>
      <c r="C19" s="46" t="inlineStr">
        <is>
          <t>$</t>
        </is>
      </c>
      <c r="D19" s="41" t="n"/>
      <c r="E19" s="41" t="n"/>
      <c r="F19" s="41" t="n"/>
      <c r="G19" s="41" t="n"/>
      <c r="H19" s="41" t="n"/>
    </row>
    <row r="20" ht="20" customHeight="1">
      <c r="B20" s="42" t="inlineStr">
        <is>
          <t>Gross Margin</t>
        </is>
      </c>
      <c r="C20" s="37" t="inlineStr">
        <is>
          <t>%</t>
        </is>
      </c>
      <c r="D20" s="44" t="n"/>
      <c r="E20" s="44" t="n"/>
      <c r="F20" s="44" t="n"/>
      <c r="G20" s="44" t="n"/>
      <c r="H20" s="44" t="n"/>
    </row>
    <row r="21" ht="20" customHeight="1">
      <c r="C21" s="34" t="n"/>
    </row>
    <row r="22" ht="21" customHeight="1">
      <c r="B22" s="35" t="inlineStr">
        <is>
          <t>Operating Expenses</t>
        </is>
      </c>
    </row>
    <row r="23" ht="20" customHeight="1">
      <c r="B23" s="36" t="inlineStr">
        <is>
          <t>Staff Costs</t>
        </is>
      </c>
      <c r="C23" s="37" t="inlineStr">
        <is>
          <t>$</t>
        </is>
      </c>
      <c r="D23" s="38" t="n"/>
      <c r="E23" s="38" t="n"/>
      <c r="F23" s="38" t="n"/>
      <c r="G23" s="38" t="n"/>
      <c r="H23" s="38" t="n"/>
    </row>
    <row r="24" ht="20" customHeight="1">
      <c r="B24" s="36" t="inlineStr">
        <is>
          <t>Occupancy Costs</t>
        </is>
      </c>
      <c r="C24" s="37" t="inlineStr">
        <is>
          <t>$</t>
        </is>
      </c>
      <c r="D24" s="38" t="n"/>
      <c r="E24" s="38" t="n"/>
      <c r="F24" s="38" t="n"/>
      <c r="G24" s="38" t="n"/>
      <c r="H24" s="38" t="n"/>
    </row>
    <row r="25" ht="20" customHeight="1">
      <c r="B25" s="36" t="inlineStr">
        <is>
          <t>Marketing Costs</t>
        </is>
      </c>
      <c r="C25" s="37" t="inlineStr">
        <is>
          <t>$</t>
        </is>
      </c>
      <c r="D25" s="38" t="n"/>
      <c r="E25" s="38" t="n"/>
      <c r="F25" s="38" t="n"/>
      <c r="G25" s="38" t="n"/>
      <c r="H25" s="38" t="n"/>
    </row>
    <row r="26" ht="20" customHeight="1">
      <c r="B26" s="36" t="inlineStr">
        <is>
          <t>Other Operating Costs</t>
        </is>
      </c>
      <c r="C26" s="37" t="inlineStr">
        <is>
          <t>$</t>
        </is>
      </c>
      <c r="D26" s="38" t="n"/>
      <c r="E26" s="38" t="n"/>
      <c r="F26" s="38" t="n"/>
      <c r="G26" s="38" t="n"/>
      <c r="H26" s="38" t="n"/>
    </row>
    <row r="27" ht="20" customHeight="1">
      <c r="B27" s="39" t="inlineStr">
        <is>
          <t>Total Operating Expenses</t>
        </is>
      </c>
      <c r="C27" s="40" t="inlineStr">
        <is>
          <t>$</t>
        </is>
      </c>
      <c r="D27" s="41" t="n"/>
      <c r="E27" s="41" t="n"/>
      <c r="F27" s="41" t="n"/>
      <c r="G27" s="41" t="n"/>
      <c r="H27" s="41" t="n"/>
    </row>
    <row r="28" ht="20" customHeight="1">
      <c r="C28" s="34" t="n"/>
    </row>
    <row r="29" ht="20" customHeight="1">
      <c r="B29" s="45" t="inlineStr">
        <is>
          <t>EBITDA</t>
        </is>
      </c>
      <c r="C29" s="46" t="inlineStr">
        <is>
          <t>$</t>
        </is>
      </c>
      <c r="D29" s="41" t="n"/>
      <c r="E29" s="41" t="n"/>
      <c r="F29" s="41" t="n"/>
      <c r="G29" s="41" t="n"/>
      <c r="H29" s="41" t="n"/>
    </row>
    <row r="30" ht="20" customHeight="1">
      <c r="B30" s="42" t="inlineStr">
        <is>
          <t>EBITDA Margin</t>
        </is>
      </c>
      <c r="C30" s="37" t="inlineStr">
        <is>
          <t>%</t>
        </is>
      </c>
      <c r="D30" s="44" t="n"/>
      <c r="E30" s="44" t="n"/>
      <c r="F30" s="44" t="n"/>
      <c r="G30" s="44" t="n"/>
      <c r="H30" s="44" t="n"/>
    </row>
    <row r="31" ht="20" customHeight="1">
      <c r="C31" s="34" t="n"/>
    </row>
    <row r="32" ht="21" customHeight="1">
      <c r="B32" s="35" t="inlineStr">
        <is>
          <t>Profit After D&amp;A, Interest and Tax</t>
        </is>
      </c>
    </row>
    <row r="33" ht="20" customHeight="1">
      <c r="B33" s="36" t="inlineStr">
        <is>
          <t>Depreciation &amp; Amortization</t>
        </is>
      </c>
      <c r="C33" s="37" t="inlineStr">
        <is>
          <t>$</t>
        </is>
      </c>
      <c r="D33" s="38" t="n"/>
      <c r="E33" s="38" t="n"/>
      <c r="F33" s="38" t="n"/>
      <c r="G33" s="38" t="n"/>
      <c r="H33" s="38" t="n"/>
    </row>
    <row r="34" ht="20" customHeight="1">
      <c r="B34" s="39" t="inlineStr">
        <is>
          <t>EBIT</t>
        </is>
      </c>
      <c r="C34" s="40" t="inlineStr">
        <is>
          <t>$</t>
        </is>
      </c>
      <c r="D34" s="41" t="n"/>
      <c r="E34" s="41" t="n"/>
      <c r="F34" s="41" t="n"/>
      <c r="G34" s="41" t="n"/>
      <c r="H34" s="41" t="n"/>
    </row>
    <row r="35" ht="20" customHeight="1">
      <c r="C35" s="34" t="n"/>
    </row>
    <row r="36" ht="20" customHeight="1">
      <c r="B36" s="47" t="inlineStr">
        <is>
          <t>Temporary Net Interest Expense</t>
        </is>
      </c>
      <c r="C36" s="48" t="inlineStr">
        <is>
          <t>$</t>
        </is>
      </c>
      <c r="D36" s="49" t="n">
        <v>15850</v>
      </c>
      <c r="E36" s="49" t="n">
        <v>15850</v>
      </c>
      <c r="F36" s="49" t="n">
        <v>15850</v>
      </c>
      <c r="G36" s="49" t="n">
        <v>15850</v>
      </c>
      <c r="H36" s="49" t="n">
        <v>15850</v>
      </c>
    </row>
    <row r="37" ht="20" customHeight="1">
      <c r="B37" s="39" t="inlineStr">
        <is>
          <t>Profit Before Tax</t>
        </is>
      </c>
      <c r="C37" s="40" t="inlineStr">
        <is>
          <t>$</t>
        </is>
      </c>
      <c r="D37" s="41" t="n"/>
      <c r="E37" s="41" t="n"/>
      <c r="F37" s="41" t="n"/>
      <c r="G37" s="41" t="n"/>
      <c r="H37" s="41" t="n"/>
    </row>
    <row r="38" ht="20" customHeight="1">
      <c r="B38" s="36" t="inlineStr">
        <is>
          <t>Tax Expense</t>
        </is>
      </c>
      <c r="C38" s="37" t="inlineStr">
        <is>
          <t>$</t>
        </is>
      </c>
      <c r="D38" s="38" t="n"/>
      <c r="E38" s="38" t="n"/>
      <c r="F38" s="38" t="n"/>
      <c r="G38" s="38" t="n"/>
      <c r="H38" s="38" t="n"/>
    </row>
    <row r="39" ht="20" customHeight="1">
      <c r="B39" s="45" t="inlineStr">
        <is>
          <t>Net Profit</t>
        </is>
      </c>
      <c r="C39" s="46" t="inlineStr">
        <is>
          <t>$</t>
        </is>
      </c>
      <c r="D39" s="41" t="n"/>
      <c r="E39" s="41" t="n"/>
      <c r="F39" s="41" t="n"/>
      <c r="G39" s="41" t="n"/>
      <c r="H39" s="41" t="n"/>
    </row>
    <row r="40" ht="20" customHeight="1">
      <c r="C40" s="34" t="n"/>
    </row>
    <row r="42" ht="34" customHeight="1">
      <c r="B42" s="50" t="inlineStr">
        <is>
          <t>Temporary Net Interest Expense is provided for Task 2 so you can complete Profit Before Tax, Tax Expense, and Net Profit. In Task 3, you will replace this placeholder with interest calculated from the cash and debt forecast.</t>
        </is>
      </c>
    </row>
    <row r="44">
      <c r="B44" s="51" t="inlineStr">
        <is>
          <t>Modeling key</t>
        </is>
      </c>
    </row>
    <row r="45">
      <c r="B45" s="52" t="inlineStr">
        <is>
          <t>Light-blue cells</t>
        </is>
      </c>
      <c r="C45" s="53" t="inlineStr">
        <is>
          <t>Complete these cells.</t>
        </is>
      </c>
    </row>
    <row r="46">
      <c r="B46" s="54" t="inlineStr">
        <is>
          <t>Green text</t>
        </is>
      </c>
      <c r="C46" s="53" t="inlineStr">
        <is>
          <t>Use a formula that links to another worksheet.</t>
        </is>
      </c>
    </row>
    <row r="47">
      <c r="B47" s="36" t="inlineStr">
        <is>
          <t>Black text</t>
        </is>
      </c>
      <c r="C47" s="53" t="inlineStr">
        <is>
          <t>Use a formula calculated within the P&amp;L.</t>
        </is>
      </c>
    </row>
    <row r="48">
      <c r="B48" s="55" t="inlineStr">
        <is>
          <t>Blue text / yellow fill</t>
        </is>
      </c>
      <c r="C48" s="53" t="inlineStr">
        <is>
          <t>Provided task input; use it as given in Task 2.</t>
        </is>
      </c>
    </row>
    <row r="50" ht="28" customHeight="1">
      <c r="B50" s="56" t="inlineStr">
        <is>
          <t>Tip: Link assumptions rather than retyping them. Check that your formulas extend across all five forecast years. In this P&amp;L, expense lines are shown as positive amounts and subtracted when calculating profit subtotals.</t>
        </is>
      </c>
    </row>
  </sheetData>
  <mergeCells count="8">
    <mergeCell ref="B22:H22"/>
    <mergeCell ref="B32:H32"/>
    <mergeCell ref="B50:H50"/>
    <mergeCell ref="B1:H1"/>
    <mergeCell ref="B13:H13"/>
    <mergeCell ref="B6:H6"/>
    <mergeCell ref="B2:H2"/>
    <mergeCell ref="B42:H42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Forage Academy</dc:creator>
  <dc:title xmlns:dc="http://purl.org/dc/elements/1.1/">Excel in Business - Forecast Assumptions Template</dc:title>
  <dc:subject xmlns:dc="http://purl.org/dc/elements/1.1/">Task 1 forecast assumptions practice workbook</dc:subject>
  <dcterms:created xmlns:dcterms="http://purl.org/dc/terms/" xmlns:xsi="http://www.w3.org/2001/XMLSchema-instance" xsi:type="dcterms:W3CDTF">2026-09-09T17:07:34Z</dcterms:created>
  <dcterms:modified xmlns:dcterms="http://purl.org/dc/terms/" xmlns:xsi="http://www.w3.org/2001/XMLSchema-instance" xsi:type="dcterms:W3CDTF">2026-09-09T18:39:33Z</dcterms:modified>
</cp:coreProperties>
</file>