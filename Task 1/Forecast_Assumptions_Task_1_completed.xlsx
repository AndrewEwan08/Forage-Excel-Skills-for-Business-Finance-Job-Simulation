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siness Information" sheetId="1" state="visible" r:id="rId3"/>
    <sheet name="Forecast Assumptions" sheetId="2" state="visible" r:id="rId4"/>
    <sheet name="Glossary" sheetId="3"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8" authorId="0">
      <text>
        <r>
          <rPr>
            <sz val="10"/>
            <rFont val="Arial"/>
            <family val="2"/>
          </rPr>
          <t xml:space="preserve">Use the Business Information tab to determine the starting assumption for FY2026E.</t>
        </r>
      </text>
    </comment>
    <comment ref="D9" authorId="0">
      <text>
        <r>
          <rPr>
            <sz val="10"/>
            <rFont val="Arial"/>
            <family val="2"/>
          </rPr>
          <t xml:space="preserve">Use the Business Information tab to determine the starting assumption for FY2026E.</t>
        </r>
      </text>
    </comment>
    <comment ref="D11" authorId="0">
      <text>
        <r>
          <rPr>
            <sz val="10"/>
            <rFont val="Arial"/>
            <family val="2"/>
          </rPr>
          <t xml:space="preserve">Use the Business Information tab to determine the starting assumption for FY2026E.</t>
        </r>
      </text>
    </comment>
    <comment ref="D12" authorId="0">
      <text>
        <r>
          <rPr>
            <sz val="10"/>
            <rFont val="Arial"/>
            <family val="2"/>
          </rPr>
          <t xml:space="preserve">Use the Business Information tab to determine the starting assumption for FY2026E.</t>
        </r>
      </text>
    </comment>
    <comment ref="D14" authorId="0">
      <text>
        <r>
          <rPr>
            <sz val="10"/>
            <rFont val="Arial"/>
            <family val="2"/>
          </rPr>
          <t xml:space="preserve">Use the Business Information tab to determine the starting assumption for FY2026E.</t>
        </r>
      </text>
    </comment>
    <comment ref="D15" authorId="0">
      <text>
        <r>
          <rPr>
            <sz val="10"/>
            <rFont val="Arial"/>
            <family val="2"/>
          </rPr>
          <t xml:space="preserve">Use the Business Information tab to determine the starting assumption for FY2026E.</t>
        </r>
      </text>
    </comment>
    <comment ref="D19" authorId="0">
      <text>
        <r>
          <rPr>
            <sz val="10"/>
            <rFont val="Arial"/>
            <family val="2"/>
          </rPr>
          <t xml:space="preserve">Use the Business Information tab to determine the starting assumption for FY2026E.</t>
        </r>
      </text>
    </comment>
    <comment ref="D20" authorId="0">
      <text>
        <r>
          <rPr>
            <sz val="10"/>
            <rFont val="Arial"/>
            <family val="2"/>
          </rPr>
          <t xml:space="preserve">Use the Business Information tab to determine the starting assumption for FY2026E.</t>
        </r>
      </text>
    </comment>
    <comment ref="D21" authorId="0">
      <text>
        <r>
          <rPr>
            <sz val="10"/>
            <rFont val="Arial"/>
            <family val="2"/>
          </rPr>
          <t xml:space="preserve">Use the Business Information tab to determine the starting assumption for FY2026E.</t>
        </r>
      </text>
    </comment>
    <comment ref="D23" authorId="0">
      <text>
        <r>
          <rPr>
            <sz val="10"/>
            <rFont val="Arial"/>
            <family val="2"/>
          </rPr>
          <t xml:space="preserve">Use the Business Information tab to determine the starting assumption for FY2026E.</t>
        </r>
      </text>
    </comment>
    <comment ref="D24" authorId="0">
      <text>
        <r>
          <rPr>
            <sz val="10"/>
            <rFont val="Arial"/>
            <family val="2"/>
          </rPr>
          <t xml:space="preserve">Use the Business Information tab to determine the starting assumption for FY2026E.</t>
        </r>
      </text>
    </comment>
    <comment ref="D25" authorId="0">
      <text>
        <r>
          <rPr>
            <sz val="10"/>
            <rFont val="Arial"/>
            <family val="2"/>
          </rPr>
          <t xml:space="preserve">Use the Business Information tab to determine the starting assumption for FY2026E.</t>
        </r>
      </text>
    </comment>
    <comment ref="D26" authorId="0">
      <text>
        <r>
          <rPr>
            <sz val="10"/>
            <rFont val="Arial"/>
            <family val="2"/>
          </rPr>
          <t xml:space="preserve">Use the Business Information tab to determine the starting assumption for FY2026E.</t>
        </r>
      </text>
    </comment>
    <comment ref="D28" authorId="0">
      <text>
        <r>
          <rPr>
            <sz val="10"/>
            <rFont val="Arial"/>
            <family val="2"/>
          </rPr>
          <t xml:space="preserve">Use the Business Information tab to determine the starting assumption for FY2026E.</t>
        </r>
      </text>
    </comment>
    <comment ref="D31" authorId="0">
      <text>
        <r>
          <rPr>
            <sz val="10"/>
            <rFont val="Arial"/>
            <family val="2"/>
          </rPr>
          <t xml:space="preserve">Use the Business Information tab to determine the starting assumption for FY2026E.</t>
        </r>
      </text>
    </comment>
    <comment ref="D32" authorId="0">
      <text>
        <r>
          <rPr>
            <sz val="10"/>
            <rFont val="Arial"/>
            <family val="2"/>
          </rPr>
          <t xml:space="preserve">Use the Business Information tab to determine the starting assumption for FY2026E.</t>
        </r>
      </text>
    </comment>
    <comment ref="D33" authorId="0">
      <text>
        <r>
          <rPr>
            <sz val="10"/>
            <rFont val="Arial"/>
            <family val="2"/>
          </rPr>
          <t xml:space="preserve">Use the Business Information tab to determine the starting assumption for FY2026E.</t>
        </r>
      </text>
    </comment>
    <comment ref="D36" authorId="0">
      <text>
        <r>
          <rPr>
            <sz val="10"/>
            <rFont val="Arial"/>
            <family val="2"/>
          </rPr>
          <t xml:space="preserve">Use the Business Information tab to determine the starting assumption for FY2026E.</t>
        </r>
      </text>
    </comment>
    <comment ref="D37" authorId="0">
      <text>
        <r>
          <rPr>
            <sz val="10"/>
            <rFont val="Arial"/>
            <family val="2"/>
          </rPr>
          <t xml:space="preserve">Use the Business Information tab to determine the starting assumption for FY2026E.</t>
        </r>
      </text>
    </comment>
    <comment ref="D38" authorId="0">
      <text>
        <r>
          <rPr>
            <sz val="10"/>
            <rFont val="Arial"/>
            <family val="2"/>
          </rPr>
          <t xml:space="preserve">Use the Business Information tab to determine the starting assumption for FY2026E.</t>
        </r>
      </text>
    </comment>
  </commentList>
</comments>
</file>

<file path=xl/sharedStrings.xml><?xml version="1.0" encoding="utf-8"?>
<sst xmlns="http://schemas.openxmlformats.org/spreadsheetml/2006/main" count="155" uniqueCount="80">
  <si>
    <t xml:space="preserve">Forecast Assumptions | Business Information</t>
  </si>
  <si>
    <t xml:space="preserve">How to use this workbook</t>
  </si>
  <si>
    <t xml:space="preserve">Review the business information below, then complete every light blue cell on the Forecast Assumptions tab. Use hardcoded inputs for starting values and fixed assumptions, and use formulas for later years when a growth rule is provided. Keep negative percentages exactly as stated. Use the Glossary tab if you need help with a financial term.</t>
  </si>
  <si>
    <t xml:space="preserve">Revenue</t>
  </si>
  <si>
    <t xml:space="preserve">Product</t>
  </si>
  <si>
    <t xml:space="preserve">FY2026E starting units</t>
  </si>
  <si>
    <t xml:space="preserve">FY2026E avg. sale price</t>
  </si>
  <si>
    <t xml:space="preserve">Forecast rule</t>
  </si>
  <si>
    <t xml:space="preserve">Baked Goods</t>
  </si>
  <si>
    <t xml:space="preserve">From FY2027E, unit growth is 10%. Reduce the growth rate by 1 percentage point each year thereafter (9%, 8%, 7%). Average sale price grows 4% per year from FY2027E.</t>
  </si>
  <si>
    <t xml:space="preserve">Frozen Desserts</t>
  </si>
  <si>
    <t xml:space="preserve">Beverages</t>
  </si>
  <si>
    <t xml:space="preserve">Costs</t>
  </si>
  <si>
    <t xml:space="preserve">Driver</t>
  </si>
  <si>
    <t xml:space="preserve">FY2026E starting value</t>
  </si>
  <si>
    <t xml:space="preserve">Unit</t>
  </si>
  <si>
    <t xml:space="preserve">COGS per Baked Good</t>
  </si>
  <si>
    <t xml:space="preserve">$ per unit</t>
  </si>
  <si>
    <t xml:space="preserve">Increase by 2% per year from FY2027E.</t>
  </si>
  <si>
    <t xml:space="preserve">COGS per Frozen Dessert</t>
  </si>
  <si>
    <t xml:space="preserve">COGS per Beverage</t>
  </si>
  <si>
    <t xml:space="preserve">Staff Costs</t>
  </si>
  <si>
    <t xml:space="preserve">$</t>
  </si>
  <si>
    <t xml:space="preserve">Increase by 5% per year from FY2027E.</t>
  </si>
  <si>
    <t xml:space="preserve">Occupancy Costs</t>
  </si>
  <si>
    <t xml:space="preserve">Increase by 3% per year from FY2027E.</t>
  </si>
  <si>
    <t xml:space="preserve">Marketing Costs</t>
  </si>
  <si>
    <t xml:space="preserve">Other Operating Costs</t>
  </si>
  <si>
    <t xml:space="preserve">Annual D&amp;A</t>
  </si>
  <si>
    <t xml:space="preserve">% of revenue</t>
  </si>
  <si>
    <t xml:space="preserve">Increase by 0.25 percentage points each year (for example, -5.00% becomes -4.75% in FY2027E).</t>
  </si>
  <si>
    <t xml:space="preserve">Cash Flow</t>
  </si>
  <si>
    <t xml:space="preserve">Starting value</t>
  </si>
  <si>
    <t xml:space="preserve">Capital Expenditure (CapEx)</t>
  </si>
  <si>
    <t xml:space="preserve">Linked to D&amp;A</t>
  </si>
  <si>
    <t xml:space="preserve">Set CapEx equal to the Annual D&amp;A percentage in each forecast year.</t>
  </si>
  <si>
    <t xml:space="preserve">Change in Net Working Capital (NWC)</t>
  </si>
  <si>
    <t xml:space="preserve">Use -1.0% of revenue in every forecast year.</t>
  </si>
  <si>
    <t xml:space="preserve">Dividend Payout Ratio</t>
  </si>
  <si>
    <t xml:space="preserve">%</t>
  </si>
  <si>
    <t xml:space="preserve">Use 60.0% in every forecast year.</t>
  </si>
  <si>
    <t xml:space="preserve">Other</t>
  </si>
  <si>
    <t xml:space="preserve">Tax Rate</t>
  </si>
  <si>
    <t xml:space="preserve">Use 21.0% in every forecast year.</t>
  </si>
  <si>
    <t xml:space="preserve">Debt Interest Rate</t>
  </si>
  <si>
    <t xml:space="preserve">Use 4.0% in every forecast year.</t>
  </si>
  <si>
    <t xml:space="preserve">Cash Interest Rate</t>
  </si>
  <si>
    <t xml:space="preserve">Use 1.0% in every forecast year.</t>
  </si>
  <si>
    <t xml:space="preserve">Forecast Assumptions</t>
  </si>
  <si>
    <t xml:space="preserve">Complete every light-blue cell using the Business Information tab. Use formulas for later years when a growth rule is provided.</t>
  </si>
  <si>
    <t xml:space="preserve">FY2026E</t>
  </si>
  <si>
    <t xml:space="preserve">FY2027E</t>
  </si>
  <si>
    <t xml:space="preserve">FY2028E</t>
  </si>
  <si>
    <t xml:space="preserve">FY2029E</t>
  </si>
  <si>
    <t xml:space="preserve">FY2030E</t>
  </si>
  <si>
    <t xml:space="preserve">Number of Units Sold</t>
  </si>
  <si>
    <t xml:space="preserve">#</t>
  </si>
  <si>
    <t xml:space="preserve">Average Sale Price</t>
  </si>
  <si>
    <t xml:space="preserve">Cost of Goods Sold (COGS)</t>
  </si>
  <si>
    <t xml:space="preserve">Operating Expenses (OpEx)</t>
  </si>
  <si>
    <t xml:space="preserve">Depreciation &amp; Amortization (D&amp;A)</t>
  </si>
  <si>
    <t xml:space="preserve">Tip: Check that percentages, dollar values, and unit counts use the correct number format before submitting your workbook.</t>
  </si>
  <si>
    <t xml:space="preserve">Financial Modeling Glossary</t>
  </si>
  <si>
    <t xml:space="preserve">Term</t>
  </si>
  <si>
    <t xml:space="preserve">Definition</t>
  </si>
  <si>
    <t xml:space="preserve">Spending on long-term assets such as equipment, property, or technology that supports the business over multiple periods.</t>
  </si>
  <si>
    <t xml:space="preserve">The direct costs associated with producing the goods or services sold by a business.</t>
  </si>
  <si>
    <t xml:space="preserve">Non-cash expenses that allocate the cost of tangible and intangible assets over their useful lives.</t>
  </si>
  <si>
    <t xml:space="preserve">The percentage of net profit distributed to shareholders as dividends.</t>
  </si>
  <si>
    <t xml:space="preserve">EBITDA</t>
  </si>
  <si>
    <t xml:space="preserve">Earnings before interest, taxes, depreciation, and amortization. It is commonly used as a measure of operating profitability before financing, tax, and non-cash D&amp;A expenses.</t>
  </si>
  <si>
    <t xml:space="preserve">EBIT</t>
  </si>
  <si>
    <t xml:space="preserve">Earnings before interest and taxes. It represents operating profit after depreciation and amortization.</t>
  </si>
  <si>
    <t xml:space="preserve">Net Working Capital (NWC)</t>
  </si>
  <si>
    <t xml:space="preserve">A measure of short-term operating assets and liabilities. Changes in NWC can either use or release cash.</t>
  </si>
  <si>
    <t xml:space="preserve">Ongoing costs of running the business that are not direct product costs, such as staff, occupancy, marketing, and administrative costs.</t>
  </si>
  <si>
    <t xml:space="preserve">Profit &amp; Loss Statement (P&amp;L)</t>
  </si>
  <si>
    <t xml:space="preserve">A financial statement that summarizes revenue, expenses, and profit or loss over a period of time.</t>
  </si>
  <si>
    <t xml:space="preserve">Working Capital</t>
  </si>
  <si>
    <t xml:space="preserve">The short-term resources needed to support day-to-day operations, including items such as receivables, inventory, and payables.</t>
  </si>
</sst>
</file>

<file path=xl/styles.xml><?xml version="1.0" encoding="utf-8"?>
<styleSheet xmlns="http://schemas.openxmlformats.org/spreadsheetml/2006/main">
  <numFmts count="7">
    <numFmt numFmtId="164" formatCode="General"/>
    <numFmt numFmtId="165" formatCode="#,##0"/>
    <numFmt numFmtId="166" formatCode="\$0.00"/>
    <numFmt numFmtId="167" formatCode="\$#,##0"/>
    <numFmt numFmtId="168" formatCode="0.00%"/>
    <numFmt numFmtId="169" formatCode="0.0%"/>
    <numFmt numFmtId="170" formatCode="\$#,##0.00"/>
  </numFmts>
  <fonts count="12">
    <font>
      <sz val="11"/>
      <color theme="1"/>
      <name val="Calibri"/>
      <family val="2"/>
      <charset val="1"/>
    </font>
    <font>
      <sz val="10"/>
      <name val="Arial"/>
      <family val="0"/>
    </font>
    <font>
      <sz val="10"/>
      <name val="Arial"/>
      <family val="0"/>
    </font>
    <font>
      <sz val="10"/>
      <name val="Arial"/>
      <family val="0"/>
    </font>
    <font>
      <b val="true"/>
      <sz val="18"/>
      <color rgb="FFFFFFFF"/>
      <name val="Aptos Display"/>
      <family val="0"/>
      <charset val="1"/>
    </font>
    <font>
      <b val="true"/>
      <sz val="12"/>
      <color rgb="FF17365D"/>
      <name val="Calibri"/>
      <family val="0"/>
      <charset val="1"/>
    </font>
    <font>
      <sz val="10"/>
      <color rgb="FF000000"/>
      <name val="Calibri"/>
      <family val="0"/>
      <charset val="1"/>
    </font>
    <font>
      <b val="true"/>
      <sz val="11"/>
      <color rgb="FFFFFFFF"/>
      <name val="Calibri"/>
      <family val="0"/>
      <charset val="1"/>
    </font>
    <font>
      <b val="true"/>
      <sz val="11"/>
      <color rgb="FF17365D"/>
      <name val="Calibri"/>
      <family val="0"/>
      <charset val="1"/>
    </font>
    <font>
      <i val="true"/>
      <sz val="9"/>
      <color rgb="FF666666"/>
      <name val="Calibri"/>
      <family val="0"/>
      <charset val="1"/>
    </font>
    <font>
      <sz val="11"/>
      <color rgb="FF666666"/>
      <name val="Calibri"/>
      <family val="0"/>
      <charset val="1"/>
    </font>
    <font>
      <sz val="10"/>
      <name val="Arial"/>
      <family val="2"/>
    </font>
  </fonts>
  <fills count="7">
    <fill>
      <patternFill patternType="none"/>
    </fill>
    <fill>
      <patternFill patternType="gray125"/>
    </fill>
    <fill>
      <patternFill patternType="solid">
        <fgColor rgb="FF17365D"/>
        <bgColor rgb="FF333333"/>
      </patternFill>
    </fill>
    <fill>
      <patternFill patternType="solid">
        <fgColor rgb="FFEAF4FB"/>
        <bgColor rgb="FFF3F4F6"/>
      </patternFill>
    </fill>
    <fill>
      <patternFill patternType="solid">
        <fgColor rgb="FF1F4E78"/>
        <bgColor rgb="FF17365D"/>
      </patternFill>
    </fill>
    <fill>
      <patternFill patternType="solid">
        <fgColor rgb="FFF3F4F6"/>
        <bgColor rgb="FFEAF4FB"/>
      </patternFill>
    </fill>
    <fill>
      <patternFill patternType="solid">
        <fgColor rgb="FFD9EAF7"/>
        <bgColor rgb="FFEAF4FB"/>
      </patternFill>
    </fill>
  </fills>
  <borders count="2">
    <border diagonalUp="false" diagonalDown="false">
      <left/>
      <right/>
      <top/>
      <bottom/>
      <diagonal/>
    </border>
    <border diagonalUp="false" diagonalDown="false">
      <left/>
      <right/>
      <top/>
      <bottom style="thin">
        <color rgb="FFB8C2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8" fontId="0" fillId="0" borderId="1" xfId="0" applyFont="false" applyBorder="true" applyAlignment="true" applyProtection="false">
      <alignment horizontal="general" vertical="top" textRotation="0" wrapText="true" indent="0" shrinkToFit="false"/>
      <protection locked="true" hidden="false"/>
    </xf>
    <xf numFmtId="169" fontId="0" fillId="0" borderId="1" xfId="0" applyFont="false" applyBorder="true" applyAlignment="true" applyProtection="false">
      <alignment horizontal="general" vertical="top"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1"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6" borderId="1" xfId="0" applyFont="false" applyBorder="true" applyAlignment="false" applyProtection="false">
      <alignment horizontal="general" vertical="bottom" textRotation="0" wrapText="false" indent="0" shrinkToFit="false"/>
      <protection locked="true" hidden="false"/>
    </xf>
    <xf numFmtId="167" fontId="0" fillId="6" borderId="1" xfId="0" applyFont="false" applyBorder="true" applyAlignment="false" applyProtection="false">
      <alignment horizontal="general" vertical="bottom" textRotation="0" wrapText="false" indent="0" shrinkToFit="false"/>
      <protection locked="true" hidden="false"/>
    </xf>
    <xf numFmtId="170" fontId="0" fillId="6" borderId="1" xfId="0" applyFont="false" applyBorder="true" applyAlignment="false" applyProtection="false">
      <alignment horizontal="general" vertical="bottom" textRotation="0" wrapText="false" indent="0" shrinkToFit="false"/>
      <protection locked="true" hidden="false"/>
    </xf>
    <xf numFmtId="168" fontId="0" fillId="6" borderId="1" xfId="0" applyFont="fals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2CC"/>
      <rgbColor rgb="FF808080"/>
      <rgbColor rgb="FF9999FF"/>
      <rgbColor rgb="FF993366"/>
      <rgbColor rgb="FFF3F4F6"/>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4FB"/>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4" activeCellId="0" sqref="B4"/>
    </sheetView>
  </sheetViews>
  <sheetFormatPr defaultColWidth="8.6796875" defaultRowHeight="14.2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4" min="3" style="0" width="20"/>
    <col collapsed="false" customWidth="true" hidden="false" outlineLevel="0" max="5" min="5" style="0" width="50"/>
    <col collapsed="false" customWidth="true" hidden="false" outlineLevel="0" max="6" min="6" style="0" width="4"/>
  </cols>
  <sheetData>
    <row r="1" customFormat="false" ht="30" hidden="false" customHeight="true" outlineLevel="0" collapsed="false">
      <c r="B1" s="1" t="s">
        <v>0</v>
      </c>
      <c r="C1" s="1"/>
      <c r="D1" s="1"/>
      <c r="E1" s="1"/>
    </row>
    <row r="3" customFormat="false" ht="15" hidden="false" customHeight="true" outlineLevel="0" collapsed="false">
      <c r="B3" s="2" t="s">
        <v>1</v>
      </c>
      <c r="C3" s="2"/>
      <c r="D3" s="2"/>
      <c r="E3" s="2"/>
    </row>
    <row r="4" customFormat="false" ht="61.5" hidden="false" customHeight="true" outlineLevel="0" collapsed="false">
      <c r="B4" s="3" t="s">
        <v>2</v>
      </c>
      <c r="C4" s="3"/>
      <c r="D4" s="3"/>
      <c r="E4" s="3"/>
    </row>
    <row r="6" customFormat="false" ht="14.25" hidden="false" customHeight="false" outlineLevel="0" collapsed="false">
      <c r="B6" s="4" t="s">
        <v>3</v>
      </c>
      <c r="C6" s="4"/>
      <c r="D6" s="4"/>
      <c r="E6" s="4"/>
    </row>
    <row r="7" customFormat="false" ht="28.5" hidden="false" customHeight="true" outlineLevel="0" collapsed="false">
      <c r="B7" s="5" t="s">
        <v>4</v>
      </c>
      <c r="C7" s="5" t="s">
        <v>5</v>
      </c>
      <c r="D7" s="5" t="s">
        <v>6</v>
      </c>
      <c r="E7" s="5" t="s">
        <v>7</v>
      </c>
    </row>
    <row r="8" customFormat="false" ht="51.75" hidden="false" customHeight="true" outlineLevel="0" collapsed="false">
      <c r="B8" s="6" t="s">
        <v>8</v>
      </c>
      <c r="C8" s="7" t="n">
        <v>100000</v>
      </c>
      <c r="D8" s="8" t="n">
        <v>4</v>
      </c>
      <c r="E8" s="6" t="s">
        <v>9</v>
      </c>
    </row>
    <row r="9" customFormat="false" ht="51.75" hidden="false" customHeight="true" outlineLevel="0" collapsed="false">
      <c r="B9" s="6" t="s">
        <v>10</v>
      </c>
      <c r="C9" s="7" t="n">
        <v>60000</v>
      </c>
      <c r="D9" s="8" t="n">
        <v>3</v>
      </c>
      <c r="E9" s="6" t="s">
        <v>9</v>
      </c>
    </row>
    <row r="10" customFormat="false" ht="51.75" hidden="false" customHeight="true" outlineLevel="0" collapsed="false">
      <c r="B10" s="6" t="s">
        <v>11</v>
      </c>
      <c r="C10" s="7" t="n">
        <v>50000</v>
      </c>
      <c r="D10" s="8" t="n">
        <v>2.5</v>
      </c>
      <c r="E10" s="6" t="s">
        <v>9</v>
      </c>
    </row>
    <row r="12" customFormat="false" ht="14.25" hidden="false" customHeight="false" outlineLevel="0" collapsed="false">
      <c r="B12" s="4" t="s">
        <v>12</v>
      </c>
      <c r="C12" s="4"/>
      <c r="D12" s="4"/>
      <c r="E12" s="4"/>
    </row>
    <row r="13" customFormat="false" ht="28.35" hidden="false" customHeight="false" outlineLevel="0" collapsed="false">
      <c r="B13" s="5" t="s">
        <v>13</v>
      </c>
      <c r="C13" s="5" t="s">
        <v>14</v>
      </c>
      <c r="D13" s="5" t="s">
        <v>15</v>
      </c>
      <c r="E13" s="5" t="s">
        <v>7</v>
      </c>
    </row>
    <row r="14" customFormat="false" ht="33.75" hidden="false" customHeight="true" outlineLevel="0" collapsed="false">
      <c r="B14" s="6" t="s">
        <v>16</v>
      </c>
      <c r="C14" s="8" t="n">
        <v>1.5</v>
      </c>
      <c r="D14" s="6" t="s">
        <v>17</v>
      </c>
      <c r="E14" s="6" t="s">
        <v>18</v>
      </c>
    </row>
    <row r="15" customFormat="false" ht="33.75" hidden="false" customHeight="true" outlineLevel="0" collapsed="false">
      <c r="B15" s="6" t="s">
        <v>19</v>
      </c>
      <c r="C15" s="8" t="n">
        <v>0.8</v>
      </c>
      <c r="D15" s="6" t="s">
        <v>17</v>
      </c>
      <c r="E15" s="6" t="s">
        <v>18</v>
      </c>
    </row>
    <row r="16" customFormat="false" ht="33.75" hidden="false" customHeight="true" outlineLevel="0" collapsed="false">
      <c r="B16" s="6" t="s">
        <v>20</v>
      </c>
      <c r="C16" s="8" t="n">
        <v>1.1</v>
      </c>
      <c r="D16" s="6" t="s">
        <v>17</v>
      </c>
      <c r="E16" s="6" t="s">
        <v>18</v>
      </c>
    </row>
    <row r="17" customFormat="false" ht="33.75" hidden="false" customHeight="true" outlineLevel="0" collapsed="false">
      <c r="B17" s="6" t="s">
        <v>21</v>
      </c>
      <c r="C17" s="9" t="n">
        <v>150000</v>
      </c>
      <c r="D17" s="6" t="s">
        <v>22</v>
      </c>
      <c r="E17" s="6" t="s">
        <v>23</v>
      </c>
    </row>
    <row r="18" customFormat="false" ht="33.75" hidden="false" customHeight="true" outlineLevel="0" collapsed="false">
      <c r="B18" s="6" t="s">
        <v>24</v>
      </c>
      <c r="C18" s="9" t="n">
        <v>60000</v>
      </c>
      <c r="D18" s="6" t="s">
        <v>22</v>
      </c>
      <c r="E18" s="6" t="s">
        <v>25</v>
      </c>
    </row>
    <row r="19" customFormat="false" ht="33.75" hidden="false" customHeight="true" outlineLevel="0" collapsed="false">
      <c r="B19" s="6" t="s">
        <v>26</v>
      </c>
      <c r="C19" s="9" t="n">
        <v>10000</v>
      </c>
      <c r="D19" s="6" t="s">
        <v>22</v>
      </c>
      <c r="E19" s="6" t="s">
        <v>23</v>
      </c>
    </row>
    <row r="20" customFormat="false" ht="33.75" hidden="false" customHeight="true" outlineLevel="0" collapsed="false">
      <c r="B20" s="6" t="s">
        <v>27</v>
      </c>
      <c r="C20" s="9" t="n">
        <v>5000</v>
      </c>
      <c r="D20" s="6" t="s">
        <v>22</v>
      </c>
      <c r="E20" s="6" t="s">
        <v>23</v>
      </c>
    </row>
    <row r="21" customFormat="false" ht="48" hidden="false" customHeight="true" outlineLevel="0" collapsed="false">
      <c r="B21" s="6" t="s">
        <v>28</v>
      </c>
      <c r="C21" s="10" t="n">
        <v>-0.05</v>
      </c>
      <c r="D21" s="6" t="s">
        <v>29</v>
      </c>
      <c r="E21" s="6" t="s">
        <v>30</v>
      </c>
    </row>
    <row r="23" customFormat="false" ht="14.25" hidden="false" customHeight="false" outlineLevel="0" collapsed="false">
      <c r="B23" s="4" t="s">
        <v>31</v>
      </c>
      <c r="C23" s="4"/>
      <c r="D23" s="4"/>
      <c r="E23" s="4"/>
    </row>
    <row r="24" customFormat="false" ht="14.25" hidden="false" customHeight="false" outlineLevel="0" collapsed="false">
      <c r="B24" s="5" t="s">
        <v>13</v>
      </c>
      <c r="C24" s="5" t="s">
        <v>32</v>
      </c>
      <c r="D24" s="5" t="s">
        <v>15</v>
      </c>
      <c r="E24" s="5" t="s">
        <v>7</v>
      </c>
    </row>
    <row r="25" customFormat="false" ht="37.5" hidden="false" customHeight="true" outlineLevel="0" collapsed="false">
      <c r="B25" s="6" t="s">
        <v>33</v>
      </c>
      <c r="C25" s="6" t="s">
        <v>34</v>
      </c>
      <c r="D25" s="6" t="s">
        <v>29</v>
      </c>
      <c r="E25" s="6" t="s">
        <v>35</v>
      </c>
    </row>
    <row r="26" customFormat="false" ht="37.5" hidden="false" customHeight="true" outlineLevel="0" collapsed="false">
      <c r="B26" s="6" t="s">
        <v>36</v>
      </c>
      <c r="C26" s="11" t="n">
        <v>-0.01</v>
      </c>
      <c r="D26" s="6" t="s">
        <v>29</v>
      </c>
      <c r="E26" s="6" t="s">
        <v>37</v>
      </c>
    </row>
    <row r="27" customFormat="false" ht="37.5" hidden="false" customHeight="true" outlineLevel="0" collapsed="false">
      <c r="B27" s="6" t="s">
        <v>38</v>
      </c>
      <c r="C27" s="11" t="n">
        <v>0.6</v>
      </c>
      <c r="D27" s="6" t="s">
        <v>39</v>
      </c>
      <c r="E27" s="6" t="s">
        <v>40</v>
      </c>
    </row>
    <row r="29" customFormat="false" ht="14.25" hidden="false" customHeight="false" outlineLevel="0" collapsed="false">
      <c r="B29" s="4" t="s">
        <v>41</v>
      </c>
      <c r="C29" s="4"/>
      <c r="D29" s="4"/>
      <c r="E29" s="4"/>
    </row>
    <row r="30" customFormat="false" ht="14.25" hidden="false" customHeight="false" outlineLevel="0" collapsed="false">
      <c r="B30" s="5" t="s">
        <v>13</v>
      </c>
      <c r="C30" s="5" t="s">
        <v>32</v>
      </c>
      <c r="D30" s="5" t="s">
        <v>15</v>
      </c>
      <c r="E30" s="5" t="s">
        <v>7</v>
      </c>
    </row>
    <row r="31" customFormat="false" ht="30" hidden="false" customHeight="true" outlineLevel="0" collapsed="false">
      <c r="B31" s="6" t="s">
        <v>42</v>
      </c>
      <c r="C31" s="11" t="n">
        <v>0.21</v>
      </c>
      <c r="D31" s="6" t="s">
        <v>39</v>
      </c>
      <c r="E31" s="6" t="s">
        <v>43</v>
      </c>
    </row>
    <row r="32" customFormat="false" ht="30" hidden="false" customHeight="true" outlineLevel="0" collapsed="false">
      <c r="B32" s="6" t="s">
        <v>44</v>
      </c>
      <c r="C32" s="11" t="n">
        <v>0.04</v>
      </c>
      <c r="D32" s="6" t="s">
        <v>39</v>
      </c>
      <c r="E32" s="6" t="s">
        <v>45</v>
      </c>
    </row>
    <row r="33" customFormat="false" ht="30" hidden="false" customHeight="true" outlineLevel="0" collapsed="false">
      <c r="B33" s="6" t="s">
        <v>46</v>
      </c>
      <c r="C33" s="11" t="n">
        <v>0.01</v>
      </c>
      <c r="D33" s="6" t="s">
        <v>39</v>
      </c>
      <c r="E33" s="6" t="s">
        <v>47</v>
      </c>
    </row>
  </sheetData>
  <mergeCells count="7">
    <mergeCell ref="B1:E1"/>
    <mergeCell ref="B3:E3"/>
    <mergeCell ref="B4:E4"/>
    <mergeCell ref="B6:E6"/>
    <mergeCell ref="B12:E12"/>
    <mergeCell ref="B23:E23"/>
    <mergeCell ref="B29:E29"/>
  </mergeCells>
  <printOptions headings="false" gridLines="false" gridLinesSet="true" horizontalCentered="tru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Excel in Business | Forecast Assumptions</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23" activePane="bottomRight" state="frozen"/>
      <selection pane="topLeft" activeCell="A1" activeCellId="0" sqref="A1"/>
      <selection pane="topRight" activeCell="D1" activeCellId="0" sqref="D1"/>
      <selection pane="bottomLeft" activeCell="A23" activeCellId="0" sqref="A23"/>
      <selection pane="bottomRight" activeCell="B31" activeCellId="0" sqref="B31"/>
    </sheetView>
  </sheetViews>
  <sheetFormatPr defaultColWidth="8.6796875" defaultRowHeight="14.2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8" min="3" style="0" width="15"/>
    <col collapsed="false" customWidth="true" hidden="false" outlineLevel="0" max="9" min="9" style="0" width="3"/>
  </cols>
  <sheetData>
    <row r="1" customFormat="false" ht="30" hidden="false" customHeight="true" outlineLevel="0" collapsed="false">
      <c r="B1" s="12" t="s">
        <v>48</v>
      </c>
      <c r="C1" s="12"/>
      <c r="D1" s="12"/>
      <c r="E1" s="12"/>
      <c r="F1" s="12"/>
      <c r="G1" s="12"/>
      <c r="H1" s="12"/>
    </row>
    <row r="2" customFormat="false" ht="30" hidden="false" customHeight="true" outlineLevel="0" collapsed="false">
      <c r="B2" s="13" t="s">
        <v>49</v>
      </c>
      <c r="C2" s="13"/>
      <c r="D2" s="13"/>
      <c r="E2" s="13"/>
      <c r="F2" s="13"/>
      <c r="G2" s="13"/>
      <c r="H2" s="13"/>
    </row>
    <row r="4" customFormat="false" ht="24" hidden="false" customHeight="true" outlineLevel="0" collapsed="false">
      <c r="B4" s="14" t="s">
        <v>13</v>
      </c>
      <c r="C4" s="14" t="s">
        <v>15</v>
      </c>
      <c r="D4" s="14" t="s">
        <v>50</v>
      </c>
      <c r="E4" s="14" t="s">
        <v>51</v>
      </c>
      <c r="F4" s="14" t="s">
        <v>52</v>
      </c>
      <c r="G4" s="14" t="s">
        <v>53</v>
      </c>
      <c r="H4" s="14" t="s">
        <v>54</v>
      </c>
    </row>
    <row r="6" customFormat="false" ht="14.25" hidden="false" customHeight="false" outlineLevel="0" collapsed="false">
      <c r="B6" s="4" t="s">
        <v>3</v>
      </c>
      <c r="C6" s="4"/>
      <c r="D6" s="4"/>
      <c r="E6" s="4"/>
      <c r="F6" s="4"/>
      <c r="G6" s="4"/>
      <c r="H6" s="4"/>
    </row>
    <row r="7" customFormat="false" ht="21" hidden="false" customHeight="true" outlineLevel="0" collapsed="false">
      <c r="B7" s="15" t="s">
        <v>8</v>
      </c>
      <c r="C7" s="15"/>
      <c r="D7" s="15"/>
      <c r="E7" s="15"/>
      <c r="F7" s="15"/>
      <c r="G7" s="15"/>
      <c r="H7" s="15"/>
    </row>
    <row r="8" customFormat="false" ht="21" hidden="false" customHeight="true" outlineLevel="0" collapsed="false">
      <c r="B8" s="16" t="s">
        <v>55</v>
      </c>
      <c r="C8" s="17" t="s">
        <v>56</v>
      </c>
      <c r="D8" s="18" t="n">
        <v>100000</v>
      </c>
      <c r="E8" s="18" t="n">
        <f aca="false">D8*(1+0.1)</f>
        <v>110000</v>
      </c>
      <c r="F8" s="18" t="n">
        <f aca="false">E8*(1+0.09)</f>
        <v>119900</v>
      </c>
      <c r="G8" s="18" t="n">
        <f aca="false">F8*(1+0.08)</f>
        <v>129492</v>
      </c>
      <c r="H8" s="18" t="n">
        <f aca="false">G8*(1+0.07)</f>
        <v>138556.44</v>
      </c>
    </row>
    <row r="9" customFormat="false" ht="21" hidden="false" customHeight="true" outlineLevel="0" collapsed="false">
      <c r="B9" s="16" t="s">
        <v>57</v>
      </c>
      <c r="C9" s="17" t="s">
        <v>22</v>
      </c>
      <c r="D9" s="19" t="n">
        <v>4</v>
      </c>
      <c r="E9" s="19" t="n">
        <f aca="false">D9*(1+0.04)</f>
        <v>4.16</v>
      </c>
      <c r="F9" s="19" t="n">
        <f aca="false">E9*(1+0.04)</f>
        <v>4.3264</v>
      </c>
      <c r="G9" s="19" t="n">
        <f aca="false">F9*(1+0.04)</f>
        <v>4.499456</v>
      </c>
      <c r="H9" s="19" t="n">
        <f aca="false">G9*(1+0.04)</f>
        <v>4.67943424</v>
      </c>
    </row>
    <row r="10" customFormat="false" ht="21" hidden="false" customHeight="true" outlineLevel="0" collapsed="false">
      <c r="B10" s="15" t="s">
        <v>10</v>
      </c>
      <c r="C10" s="15"/>
      <c r="D10" s="15"/>
      <c r="E10" s="15"/>
      <c r="F10" s="15"/>
      <c r="G10" s="15"/>
      <c r="H10" s="15"/>
    </row>
    <row r="11" customFormat="false" ht="21" hidden="false" customHeight="true" outlineLevel="0" collapsed="false">
      <c r="B11" s="16" t="s">
        <v>55</v>
      </c>
      <c r="C11" s="17" t="s">
        <v>56</v>
      </c>
      <c r="D11" s="18" t="n">
        <v>60000</v>
      </c>
      <c r="E11" s="18" t="n">
        <f aca="false">D11*(1+0.1)</f>
        <v>66000</v>
      </c>
      <c r="F11" s="18" t="n">
        <f aca="false">E11*(1+0.09)</f>
        <v>71940</v>
      </c>
      <c r="G11" s="18" t="n">
        <f aca="false">F11*(1+0.08)</f>
        <v>77695.2</v>
      </c>
      <c r="H11" s="18" t="n">
        <f aca="false">G11*(1+0.07)</f>
        <v>83133.864</v>
      </c>
    </row>
    <row r="12" customFormat="false" ht="21" hidden="false" customHeight="true" outlineLevel="0" collapsed="false">
      <c r="B12" s="16" t="s">
        <v>57</v>
      </c>
      <c r="C12" s="17" t="s">
        <v>22</v>
      </c>
      <c r="D12" s="19" t="n">
        <v>3</v>
      </c>
      <c r="E12" s="19" t="n">
        <f aca="false">D12*(1+0.04)</f>
        <v>3.12</v>
      </c>
      <c r="F12" s="19" t="n">
        <f aca="false">E12*(1+0.04)</f>
        <v>3.2448</v>
      </c>
      <c r="G12" s="19" t="n">
        <f aca="false">F12*(1+0.04)</f>
        <v>3.374592</v>
      </c>
      <c r="H12" s="19" t="n">
        <f aca="false">G12*(1+0.04)</f>
        <v>3.50957568</v>
      </c>
    </row>
    <row r="13" customFormat="false" ht="21" hidden="false" customHeight="true" outlineLevel="0" collapsed="false">
      <c r="B13" s="15" t="s">
        <v>11</v>
      </c>
      <c r="C13" s="15"/>
      <c r="D13" s="15"/>
      <c r="E13" s="15"/>
      <c r="F13" s="15"/>
      <c r="G13" s="15"/>
      <c r="H13" s="15"/>
    </row>
    <row r="14" customFormat="false" ht="21" hidden="false" customHeight="true" outlineLevel="0" collapsed="false">
      <c r="B14" s="16" t="s">
        <v>55</v>
      </c>
      <c r="C14" s="17" t="s">
        <v>56</v>
      </c>
      <c r="D14" s="18" t="n">
        <v>50000</v>
      </c>
      <c r="E14" s="18" t="n">
        <f aca="false">D14*(1+0.1)</f>
        <v>55000</v>
      </c>
      <c r="F14" s="18" t="n">
        <f aca="false">E14*(1+0.09)</f>
        <v>59950</v>
      </c>
      <c r="G14" s="18" t="n">
        <f aca="false">F14*(1+0.08)</f>
        <v>64746</v>
      </c>
      <c r="H14" s="18" t="n">
        <f aca="false">G14*(1+0.07)</f>
        <v>69278.22</v>
      </c>
    </row>
    <row r="15" customFormat="false" ht="21" hidden="false" customHeight="true" outlineLevel="0" collapsed="false">
      <c r="B15" s="16" t="s">
        <v>57</v>
      </c>
      <c r="C15" s="17" t="s">
        <v>22</v>
      </c>
      <c r="D15" s="19" t="n">
        <v>2.5</v>
      </c>
      <c r="E15" s="19" t="n">
        <f aca="false">D15*(1+0.04)</f>
        <v>2.6</v>
      </c>
      <c r="F15" s="19" t="n">
        <f aca="false">E15*(1+0.04)</f>
        <v>2.704</v>
      </c>
      <c r="G15" s="19" t="n">
        <f aca="false">F15*(1+0.04)</f>
        <v>2.81216</v>
      </c>
      <c r="H15" s="19" t="n">
        <f aca="false">G15*(1+0.04)</f>
        <v>2.9246464</v>
      </c>
    </row>
    <row r="17" customFormat="false" ht="14.25" hidden="false" customHeight="false" outlineLevel="0" collapsed="false">
      <c r="B17" s="4" t="s">
        <v>12</v>
      </c>
      <c r="C17" s="4"/>
      <c r="D17" s="4"/>
      <c r="E17" s="4"/>
      <c r="F17" s="4"/>
      <c r="G17" s="4"/>
      <c r="H17" s="4"/>
    </row>
    <row r="18" customFormat="false" ht="21" hidden="false" customHeight="true" outlineLevel="0" collapsed="false">
      <c r="B18" s="15" t="s">
        <v>58</v>
      </c>
      <c r="C18" s="15"/>
      <c r="D18" s="15"/>
      <c r="E18" s="15"/>
      <c r="F18" s="15"/>
      <c r="G18" s="15"/>
      <c r="H18" s="15"/>
    </row>
    <row r="19" customFormat="false" ht="21" hidden="false" customHeight="true" outlineLevel="0" collapsed="false">
      <c r="B19" s="16" t="s">
        <v>16</v>
      </c>
      <c r="C19" s="17" t="s">
        <v>17</v>
      </c>
      <c r="D19" s="20" t="n">
        <v>1.5</v>
      </c>
      <c r="E19" s="20" t="n">
        <f aca="false">D19*(1+0.02)</f>
        <v>1.53</v>
      </c>
      <c r="F19" s="20" t="n">
        <f aca="false">E19*(1+0.02)</f>
        <v>1.5606</v>
      </c>
      <c r="G19" s="20" t="n">
        <f aca="false">F19*(1+0.02)</f>
        <v>1.591812</v>
      </c>
      <c r="H19" s="20" t="n">
        <f aca="false">G19*(1+0.02)</f>
        <v>1.62364824</v>
      </c>
    </row>
    <row r="20" customFormat="false" ht="21" hidden="false" customHeight="true" outlineLevel="0" collapsed="false">
      <c r="B20" s="16" t="s">
        <v>19</v>
      </c>
      <c r="C20" s="17" t="s">
        <v>17</v>
      </c>
      <c r="D20" s="20" t="n">
        <v>0.8</v>
      </c>
      <c r="E20" s="20" t="n">
        <f aca="false">D20*(1+0.02)</f>
        <v>0.816</v>
      </c>
      <c r="F20" s="20" t="n">
        <f aca="false">E20*(1+0.02)</f>
        <v>0.83232</v>
      </c>
      <c r="G20" s="20" t="n">
        <f aca="false">F20*(1+0.02)</f>
        <v>0.8489664</v>
      </c>
      <c r="H20" s="20" t="n">
        <f aca="false">G20*(1+0.02)</f>
        <v>0.865945728</v>
      </c>
    </row>
    <row r="21" customFormat="false" ht="21" hidden="false" customHeight="true" outlineLevel="0" collapsed="false">
      <c r="B21" s="16" t="s">
        <v>20</v>
      </c>
      <c r="C21" s="17" t="s">
        <v>17</v>
      </c>
      <c r="D21" s="20" t="n">
        <v>1.1</v>
      </c>
      <c r="E21" s="20" t="n">
        <f aca="false">D21*(1+0.02)</f>
        <v>1.122</v>
      </c>
      <c r="F21" s="20" t="n">
        <f aca="false">E21*(1+0.02)</f>
        <v>1.14444</v>
      </c>
      <c r="G21" s="20" t="n">
        <f aca="false">F21*(1+0.02)</f>
        <v>1.1673288</v>
      </c>
      <c r="H21" s="20" t="n">
        <f aca="false">G21*(1+0.02)</f>
        <v>1.190675376</v>
      </c>
    </row>
    <row r="22" customFormat="false" ht="21" hidden="false" customHeight="true" outlineLevel="0" collapsed="false">
      <c r="B22" s="15" t="s">
        <v>59</v>
      </c>
      <c r="C22" s="15"/>
      <c r="D22" s="15"/>
      <c r="E22" s="15"/>
      <c r="F22" s="15"/>
      <c r="G22" s="15"/>
      <c r="H22" s="15"/>
    </row>
    <row r="23" customFormat="false" ht="21" hidden="false" customHeight="true" outlineLevel="0" collapsed="false">
      <c r="B23" s="16" t="s">
        <v>21</v>
      </c>
      <c r="C23" s="17" t="s">
        <v>22</v>
      </c>
      <c r="D23" s="19" t="n">
        <v>150000</v>
      </c>
      <c r="E23" s="19" t="n">
        <f aca="false">D23*(1+0.05)</f>
        <v>157500</v>
      </c>
      <c r="F23" s="19" t="n">
        <f aca="false">E23*(1+0.05)</f>
        <v>165375</v>
      </c>
      <c r="G23" s="19" t="n">
        <f aca="false">F23*(1+0.05)</f>
        <v>173643.75</v>
      </c>
      <c r="H23" s="19" t="n">
        <f aca="false">G23*(1+0.05)</f>
        <v>182325.9375</v>
      </c>
    </row>
    <row r="24" customFormat="false" ht="21" hidden="false" customHeight="true" outlineLevel="0" collapsed="false">
      <c r="B24" s="16" t="s">
        <v>24</v>
      </c>
      <c r="C24" s="17" t="s">
        <v>22</v>
      </c>
      <c r="D24" s="19" t="n">
        <v>60000</v>
      </c>
      <c r="E24" s="19" t="n">
        <f aca="false">D24*(1+0.03)</f>
        <v>61800</v>
      </c>
      <c r="F24" s="19" t="n">
        <f aca="false">E24*(1+0.03)</f>
        <v>63654</v>
      </c>
      <c r="G24" s="19" t="n">
        <f aca="false">F24*(1+0.03)</f>
        <v>65563.62</v>
      </c>
      <c r="H24" s="19" t="n">
        <f aca="false">G24*(1+0.03)</f>
        <v>67530.5286</v>
      </c>
    </row>
    <row r="25" customFormat="false" ht="21" hidden="false" customHeight="true" outlineLevel="0" collapsed="false">
      <c r="B25" s="16" t="s">
        <v>26</v>
      </c>
      <c r="C25" s="17" t="s">
        <v>22</v>
      </c>
      <c r="D25" s="19" t="n">
        <v>10000</v>
      </c>
      <c r="E25" s="19" t="n">
        <f aca="false">D25*(1+0.05)</f>
        <v>10500</v>
      </c>
      <c r="F25" s="19" t="n">
        <f aca="false">E25*(1+0.05)</f>
        <v>11025</v>
      </c>
      <c r="G25" s="19" t="n">
        <f aca="false">F25*(1+0.05)</f>
        <v>11576.25</v>
      </c>
      <c r="H25" s="19" t="n">
        <f aca="false">G25*(1+0.05)</f>
        <v>12155.0625</v>
      </c>
    </row>
    <row r="26" customFormat="false" ht="21" hidden="false" customHeight="true" outlineLevel="0" collapsed="false">
      <c r="B26" s="16" t="s">
        <v>27</v>
      </c>
      <c r="C26" s="17" t="s">
        <v>22</v>
      </c>
      <c r="D26" s="19" t="n">
        <v>5000</v>
      </c>
      <c r="E26" s="19" t="n">
        <f aca="false">D26*(1+0.05)</f>
        <v>5250</v>
      </c>
      <c r="F26" s="19" t="n">
        <f aca="false">E26*(1+0.05)</f>
        <v>5512.5</v>
      </c>
      <c r="G26" s="19" t="n">
        <f aca="false">F26*(1+0.05)</f>
        <v>5788.125</v>
      </c>
      <c r="H26" s="19" t="n">
        <f aca="false">G26*(1+0.05)</f>
        <v>6077.53125</v>
      </c>
    </row>
    <row r="27" customFormat="false" ht="21" hidden="false" customHeight="true" outlineLevel="0" collapsed="false">
      <c r="B27" s="15" t="s">
        <v>60</v>
      </c>
      <c r="C27" s="15"/>
      <c r="D27" s="15"/>
      <c r="E27" s="15"/>
      <c r="F27" s="15"/>
      <c r="G27" s="15"/>
      <c r="H27" s="15"/>
    </row>
    <row r="28" customFormat="false" ht="21" hidden="false" customHeight="true" outlineLevel="0" collapsed="false">
      <c r="B28" s="16" t="s">
        <v>28</v>
      </c>
      <c r="C28" s="17" t="s">
        <v>29</v>
      </c>
      <c r="D28" s="21" t="n">
        <v>-0.05</v>
      </c>
      <c r="E28" s="21" t="n">
        <f aca="false">D28+0.0025</f>
        <v>-0.0475</v>
      </c>
      <c r="F28" s="21" t="n">
        <f aca="false">E28+0.0025</f>
        <v>-0.045</v>
      </c>
      <c r="G28" s="21" t="n">
        <f aca="false">F28+0.0025</f>
        <v>-0.0425</v>
      </c>
      <c r="H28" s="21" t="n">
        <f aca="false">G28+0.0025</f>
        <v>-0.04</v>
      </c>
    </row>
    <row r="30" customFormat="false" ht="14.25" hidden="false" customHeight="false" outlineLevel="0" collapsed="false">
      <c r="B30" s="4" t="s">
        <v>31</v>
      </c>
      <c r="C30" s="4"/>
      <c r="D30" s="4"/>
      <c r="E30" s="4"/>
      <c r="F30" s="4"/>
      <c r="G30" s="4"/>
      <c r="H30" s="4"/>
    </row>
    <row r="31" customFormat="false" ht="21" hidden="false" customHeight="true" outlineLevel="0" collapsed="false">
      <c r="B31" s="16" t="s">
        <v>33</v>
      </c>
      <c r="C31" s="17" t="s">
        <v>29</v>
      </c>
      <c r="D31" s="21" t="n">
        <f aca="false">D28</f>
        <v>-0.05</v>
      </c>
      <c r="E31" s="21" t="n">
        <f aca="false">E28</f>
        <v>-0.0475</v>
      </c>
      <c r="F31" s="21" t="n">
        <f aca="false">F28</f>
        <v>-0.045</v>
      </c>
      <c r="G31" s="21" t="n">
        <f aca="false">G28</f>
        <v>-0.0425</v>
      </c>
      <c r="H31" s="21" t="n">
        <f aca="false">H28</f>
        <v>-0.04</v>
      </c>
    </row>
    <row r="32" customFormat="false" ht="21" hidden="false" customHeight="true" outlineLevel="0" collapsed="false">
      <c r="B32" s="16" t="s">
        <v>36</v>
      </c>
      <c r="C32" s="17" t="s">
        <v>29</v>
      </c>
      <c r="D32" s="21" t="n">
        <v>-0.01</v>
      </c>
      <c r="E32" s="21" t="n">
        <v>-0.01</v>
      </c>
      <c r="F32" s="21" t="n">
        <v>-0.01</v>
      </c>
      <c r="G32" s="21" t="n">
        <v>-0.01</v>
      </c>
      <c r="H32" s="21" t="n">
        <v>-0.01</v>
      </c>
    </row>
    <row r="33" customFormat="false" ht="21" hidden="false" customHeight="true" outlineLevel="0" collapsed="false">
      <c r="B33" s="16" t="s">
        <v>38</v>
      </c>
      <c r="C33" s="17" t="s">
        <v>39</v>
      </c>
      <c r="D33" s="21" t="n">
        <v>0.6</v>
      </c>
      <c r="E33" s="21" t="n">
        <v>0.6</v>
      </c>
      <c r="F33" s="21" t="n">
        <v>0.6</v>
      </c>
      <c r="G33" s="21" t="n">
        <v>0.6</v>
      </c>
      <c r="H33" s="21" t="n">
        <v>0.6</v>
      </c>
    </row>
    <row r="35" customFormat="false" ht="14.25" hidden="false" customHeight="false" outlineLevel="0" collapsed="false">
      <c r="B35" s="4" t="s">
        <v>41</v>
      </c>
      <c r="C35" s="4"/>
      <c r="D35" s="4"/>
      <c r="E35" s="4"/>
      <c r="F35" s="4"/>
      <c r="G35" s="4"/>
      <c r="H35" s="4"/>
    </row>
    <row r="36" customFormat="false" ht="21" hidden="false" customHeight="true" outlineLevel="0" collapsed="false">
      <c r="B36" s="16" t="s">
        <v>42</v>
      </c>
      <c r="C36" s="17" t="s">
        <v>39</v>
      </c>
      <c r="D36" s="21" t="n">
        <v>0.21</v>
      </c>
      <c r="E36" s="21" t="n">
        <v>0.21</v>
      </c>
      <c r="F36" s="21" t="n">
        <v>0.21</v>
      </c>
      <c r="G36" s="21" t="n">
        <v>0.21</v>
      </c>
      <c r="H36" s="21" t="n">
        <v>0.21</v>
      </c>
    </row>
    <row r="37" customFormat="false" ht="21" hidden="false" customHeight="true" outlineLevel="0" collapsed="false">
      <c r="B37" s="16" t="s">
        <v>44</v>
      </c>
      <c r="C37" s="17" t="s">
        <v>39</v>
      </c>
      <c r="D37" s="21" t="n">
        <v>0.04</v>
      </c>
      <c r="E37" s="21" t="n">
        <v>0.04</v>
      </c>
      <c r="F37" s="21" t="n">
        <v>0.04</v>
      </c>
      <c r="G37" s="21" t="n">
        <v>0.04</v>
      </c>
      <c r="H37" s="21" t="n">
        <v>0.04</v>
      </c>
    </row>
    <row r="38" customFormat="false" ht="21" hidden="false" customHeight="true" outlineLevel="0" collapsed="false">
      <c r="B38" s="16" t="s">
        <v>46</v>
      </c>
      <c r="C38" s="17" t="s">
        <v>39</v>
      </c>
      <c r="D38" s="21" t="n">
        <v>0.01</v>
      </c>
      <c r="E38" s="21" t="n">
        <v>0.01</v>
      </c>
      <c r="F38" s="21" t="n">
        <v>0.01</v>
      </c>
      <c r="G38" s="21" t="n">
        <v>0.01</v>
      </c>
      <c r="H38" s="21" t="n">
        <v>0.01</v>
      </c>
    </row>
    <row r="40" customFormat="false" ht="14.25" hidden="false" customHeight="true" outlineLevel="0" collapsed="false">
      <c r="B40" s="13" t="s">
        <v>61</v>
      </c>
      <c r="C40" s="13"/>
      <c r="D40" s="13"/>
      <c r="E40" s="13"/>
      <c r="F40" s="13"/>
      <c r="G40" s="13"/>
      <c r="H40" s="13"/>
    </row>
  </sheetData>
  <mergeCells count="13">
    <mergeCell ref="B1:H1"/>
    <mergeCell ref="B2:H2"/>
    <mergeCell ref="B6:H6"/>
    <mergeCell ref="B7:H7"/>
    <mergeCell ref="B10:H10"/>
    <mergeCell ref="B13:H13"/>
    <mergeCell ref="B17:H17"/>
    <mergeCell ref="B18:H18"/>
    <mergeCell ref="B22:H22"/>
    <mergeCell ref="B27:H27"/>
    <mergeCell ref="B30:H30"/>
    <mergeCell ref="B35:H35"/>
    <mergeCell ref="B40:H40"/>
  </mergeCells>
  <printOptions headings="false" gridLines="false" gridLinesSet="true" horizontalCentered="tru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Excel in Business | Forecast Assumptions</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6796875" defaultRowHeight="14.2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5"/>
  </cols>
  <sheetData>
    <row r="1" customFormat="false" ht="30" hidden="false" customHeight="true" outlineLevel="0" collapsed="false">
      <c r="B1" s="12" t="s">
        <v>62</v>
      </c>
      <c r="C1" s="12"/>
    </row>
    <row r="3" customFormat="false" ht="14.25" hidden="false" customHeight="false" outlineLevel="0" collapsed="false">
      <c r="B3" s="22" t="s">
        <v>63</v>
      </c>
      <c r="C3" s="22" t="s">
        <v>64</v>
      </c>
    </row>
    <row r="4" customFormat="false" ht="48" hidden="false" customHeight="true" outlineLevel="0" collapsed="false">
      <c r="B4" s="23" t="s">
        <v>33</v>
      </c>
      <c r="C4" s="6" t="s">
        <v>65</v>
      </c>
    </row>
    <row r="5" customFormat="false" ht="48" hidden="false" customHeight="true" outlineLevel="0" collapsed="false">
      <c r="B5" s="23" t="s">
        <v>58</v>
      </c>
      <c r="C5" s="6" t="s">
        <v>66</v>
      </c>
    </row>
    <row r="6" customFormat="false" ht="48" hidden="false" customHeight="true" outlineLevel="0" collapsed="false">
      <c r="B6" s="23" t="s">
        <v>60</v>
      </c>
      <c r="C6" s="6" t="s">
        <v>67</v>
      </c>
    </row>
    <row r="7" customFormat="false" ht="48" hidden="false" customHeight="true" outlineLevel="0" collapsed="false">
      <c r="B7" s="23" t="s">
        <v>38</v>
      </c>
      <c r="C7" s="6" t="s">
        <v>68</v>
      </c>
    </row>
    <row r="8" customFormat="false" ht="48" hidden="false" customHeight="true" outlineLevel="0" collapsed="false">
      <c r="B8" s="23" t="s">
        <v>69</v>
      </c>
      <c r="C8" s="6" t="s">
        <v>70</v>
      </c>
    </row>
    <row r="9" customFormat="false" ht="48" hidden="false" customHeight="true" outlineLevel="0" collapsed="false">
      <c r="B9" s="23" t="s">
        <v>71</v>
      </c>
      <c r="C9" s="6" t="s">
        <v>72</v>
      </c>
    </row>
    <row r="10" customFormat="false" ht="48" hidden="false" customHeight="true" outlineLevel="0" collapsed="false">
      <c r="B10" s="23" t="s">
        <v>73</v>
      </c>
      <c r="C10" s="6" t="s">
        <v>74</v>
      </c>
    </row>
    <row r="11" customFormat="false" ht="48" hidden="false" customHeight="true" outlineLevel="0" collapsed="false">
      <c r="B11" s="23" t="s">
        <v>59</v>
      </c>
      <c r="C11" s="6" t="s">
        <v>75</v>
      </c>
    </row>
    <row r="12" customFormat="false" ht="48" hidden="false" customHeight="true" outlineLevel="0" collapsed="false">
      <c r="B12" s="23" t="s">
        <v>76</v>
      </c>
      <c r="C12" s="6" t="s">
        <v>77</v>
      </c>
    </row>
    <row r="13" customFormat="false" ht="48" hidden="false" customHeight="true" outlineLevel="0" collapsed="false">
      <c r="B13" s="23" t="s">
        <v>78</v>
      </c>
      <c r="C13" s="6" t="s">
        <v>79</v>
      </c>
    </row>
  </sheetData>
  <mergeCells count="1">
    <mergeCell ref="B1:C1"/>
  </mergeCells>
  <printOptions headings="false" gridLines="false" gridLinesSet="true" horizontalCentered="tru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Excel in Business | Forecast Assumptions</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2026-09-09T17:07:34Z</dcterms:created>
  <dc:creator>Forage Academy</dc:creator>
  <dc:description/>
  <dc:language>en-US</dc:language>
  <cp:lastModifiedBy>Tessa Lopes</cp:lastModifiedBy>
  <dcterms:modified xsi:type="dcterms:W3CDTF">2026-09-22T17:49:05Z</dcterms:modified>
  <cp:revision>0</cp:revision>
  <dc:subject>Task 1 forecast assumptions practice workbook</dc:subject>
  <dc:title>Excel in Business - Forecast Assumptions Template</dc:title>
</cp:coreProperties>
</file>

<file path=docProps/custom.xml><?xml version="1.0" encoding="utf-8"?>
<Properties xmlns="http://schemas.openxmlformats.org/officeDocument/2006/custom-properties" xmlns:vt="http://schemas.openxmlformats.org/officeDocument/2006/docPropsVTypes"/>
</file>